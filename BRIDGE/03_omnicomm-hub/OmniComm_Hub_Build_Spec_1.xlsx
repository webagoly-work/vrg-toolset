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Hardware" sheetId="2" state="visible" r:id="rId4"/>
    <sheet name="Software" sheetId="3" state="visible" r:id="rId5"/>
    <sheet name="Wireless" sheetId="4" state="visible" r:id="rId6"/>
    <sheet name="I-O Top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<sst xmlns="http://schemas.openxmlformats.org/spreadsheetml/2006/main" count="970" uniqueCount="597">
  <si>
    <t xml:space="preserve">OmniComm Wireless Intelligence Hub</t>
  </si>
  <si>
    <t xml:space="preserve">Custom-case build specification · Compute Module 5 platform · v1.0</t>
  </si>
  <si>
    <t xml:space="preserve">PROJECT SUMMARY</t>
  </si>
  <si>
    <t xml:space="preserve">Platform</t>
  </si>
  <si>
    <t xml:space="preserve">Raspberry Pi Compute Module 5 (CM5) — quad-core Cortex-A76 @ 2.4GHz, 4GB LPDDR4X, 32GB eMMC</t>
  </si>
  <si>
    <t xml:space="preserve">Carrier Board</t>
  </si>
  <si>
    <t xml:space="preserve">Waveshare CM5-DUAL-ETH-4G/5G-BASE — dual Ethernet, M.2 NVMe, M.2 4G/5G, 7-36V DC input</t>
  </si>
  <si>
    <t xml:space="preserve">Form Factor</t>
  </si>
  <si>
    <t xml:space="preserve">Custom metal case — single 230VAC inlet, dual RJ45, single external USB-A, antennas only</t>
  </si>
  <si>
    <t xml:space="preserve">Architecture Goal</t>
  </si>
  <si>
    <t xml:space="preserve">All wireless modules internal to case; external antennas via SMA bulkhead connectors</t>
  </si>
  <si>
    <t xml:space="preserve">Power Inputs</t>
  </si>
  <si>
    <t xml:space="preserve">230VAC (primary) · PoE+ (backup) · 4×21700 Li-ion UPS (battery)</t>
  </si>
  <si>
    <t xml:space="preserve">Internet Paths</t>
  </si>
  <si>
    <t xml:space="preserve">Wired WAN (primary) · Wi-Fi client (failover) · 4G LTE cellular (tertiary)</t>
  </si>
  <si>
    <t xml:space="preserve">Wireless Coverage</t>
  </si>
  <si>
    <t xml:space="preserve">8 dedicated radios — full sub-GHz, ISM, 2.4GHz, 5GHz, cellular coverage</t>
  </si>
  <si>
    <t xml:space="preserve">Software Base</t>
  </si>
  <si>
    <t xml:space="preserve">Raspberry Pi OS Bookworm + Home Assistant (Container) + OpenWRT (containerized router)</t>
  </si>
  <si>
    <t xml:space="preserve">Remote Access</t>
  </si>
  <si>
    <t xml:space="preserve">Nabu Casa Cloud (client) · Tailscale (admin) · Web Terminal (in-app)</t>
  </si>
  <si>
    <t xml:space="preserve">Target Use Case</t>
  </si>
  <si>
    <t xml:space="preserve">Single-box smart-home hub for high-end residential, architectural integrations</t>
  </si>
  <si>
    <t xml:space="preserve">COST SUMMARY</t>
  </si>
  <si>
    <t xml:space="preserve">Category</t>
  </si>
  <si>
    <t xml:space="preserve">Description</t>
  </si>
  <si>
    <t xml:space="preserve">Items</t>
  </si>
  <si>
    <t xml:space="preserve">Subtotal (EUR)</t>
  </si>
  <si>
    <t xml:space="preserve">Compute &amp; Carrier</t>
  </si>
  <si>
    <t xml:space="preserve">CM5 module + Waveshare carrier board + NVMe SSD</t>
  </si>
  <si>
    <t xml:space="preserve">Power &amp; UPS</t>
  </si>
  <si>
    <t xml:space="preserve">AC-DC module + UPS HAT + 21700 cells + PoE module + IEC inlet</t>
  </si>
  <si>
    <t xml:space="preserve">Cooling</t>
  </si>
  <si>
    <t xml:space="preserve">Active cooler + chassis exhaust fan</t>
  </si>
  <si>
    <t xml:space="preserve">Internal USB hub</t>
  </si>
  <si>
    <t xml:space="preserve">7-port industrial USB 2.0 hub PCB</t>
  </si>
  <si>
    <t xml:space="preserve">Wireless radios</t>
  </si>
  <si>
    <t xml:space="preserve">Zigbee/Thread, Z-Wave, EnOcean, RTL-SDR, Wi-Fi 6 AP, Wi-Fi HaLow, NFC, 4G LTE</t>
  </si>
  <si>
    <t xml:space="preserve">Case &amp; antennas</t>
  </si>
  <si>
    <t xml:space="preserve">Custom case, SMA bulkheads + pigtails, external antennas</t>
  </si>
  <si>
    <t xml:space="preserve">Optional / on request</t>
  </si>
  <si>
    <t xml:space="preserve">KNX TP USB interface + HackRF One</t>
  </si>
  <si>
    <t xml:space="preserve">BASE BUILD TOTAL (excludes optional)</t>
  </si>
  <si>
    <t xml:space="preserve">Without Optional/on-request items</t>
  </si>
  <si>
    <t xml:space="preserve">GRAND TOTAL (all items)</t>
  </si>
  <si>
    <t xml:space="preserve">Including all optional items</t>
  </si>
  <si>
    <t xml:space="preserve">LEGEND</t>
  </si>
  <si>
    <t xml:space="preserve">Status: Core</t>
  </si>
  <si>
    <t xml:space="preserve">Part of standard build</t>
  </si>
  <si>
    <t xml:space="preserve">Status: Optional</t>
  </si>
  <si>
    <t xml:space="preserve">Available on client request or for specific use case</t>
  </si>
  <si>
    <t xml:space="preserve">Tier color: Built-in (green band)</t>
  </si>
  <si>
    <t xml:space="preserve">Native to CM5 or carrier board</t>
  </si>
  <si>
    <t xml:space="preserve">Tier color: USB Dongle (purple band)</t>
  </si>
  <si>
    <t xml:space="preserve">Internal USB-attached radio module</t>
  </si>
  <si>
    <t xml:space="preserve">Tier color: Network/Gateway (orange band)</t>
  </si>
  <si>
    <t xml:space="preserve">External via Ethernet or distributed node</t>
  </si>
  <si>
    <t xml:space="preserve">Bill of Materials — Hardware</t>
  </si>
  <si>
    <t xml:space="preserve">Internal modules within the custom case · all radio dongles wired to internal USB hub</t>
  </si>
  <si>
    <t xml:space="preserve">CORE COMPUTE</t>
  </si>
  <si>
    <t xml:space="preserve">#</t>
  </si>
  <si>
    <t xml:space="preserve">Component</t>
  </si>
  <si>
    <t xml:space="preserve">Product / SKU</t>
  </si>
  <si>
    <t xml:space="preserve">Vendor</t>
  </si>
  <si>
    <t xml:space="preserve">Status</t>
  </si>
  <si>
    <t xml:space="preserve">Qty</t>
  </si>
  <si>
    <t xml:space="preserve">Unit € (net)</t>
  </si>
  <si>
    <t xml:space="preserve">Connection</t>
  </si>
  <si>
    <t xml:space="preserve">Notes / Why</t>
  </si>
  <si>
    <t xml:space="preserve">CM5 module</t>
  </si>
  <si>
    <t xml:space="preserve">RPI-CM5-4GB-32GB</t>
  </si>
  <si>
    <t xml:space="preserve">RPi Foundation</t>
  </si>
  <si>
    <t xml:space="preserve">Core compute</t>
  </si>
  <si>
    <t xml:space="preserve">Core</t>
  </si>
  <si>
    <t xml:space="preserve">—</t>
  </si>
  <si>
    <t xml:space="preserve">Quad-core A76, 4GB RAM, 32GB eMMC, BT/WiFi</t>
  </si>
  <si>
    <t xml:space="preserve">Carrier board</t>
  </si>
  <si>
    <t xml:space="preserve">Waveshare CM5-DUAL-ETH-4G/5G-BASE</t>
  </si>
  <si>
    <t xml:space="preserve">Waveshare</t>
  </si>
  <si>
    <t xml:space="preserve">Dual Eth (GbE+2.5GbE), M.2 NVMe, M.2 4G/5G, 7-36V DC</t>
  </si>
  <si>
    <t xml:space="preserve">NVMe SSD</t>
  </si>
  <si>
    <t xml:space="preserve">WD SN770 512GB M.2 2280</t>
  </si>
  <si>
    <t xml:space="preserve">Western Digital</t>
  </si>
  <si>
    <t xml:space="preserve">M.2 M-Key</t>
  </si>
  <si>
    <t xml:space="preserve">Primary storage, PCIe Gen 2 ×1 on carrier</t>
  </si>
  <si>
    <t xml:space="preserve">Subtotal: CORE COMPUTE</t>
  </si>
  <si>
    <t xml:space="preserve">POWER &amp; UPS</t>
  </si>
  <si>
    <t xml:space="preserve">AC-DC primary supply</t>
  </si>
  <si>
    <t xml:space="preserve">Mean Well RS-25-12 (25W, 12V)</t>
  </si>
  <si>
    <t xml:space="preserve">Mean Well</t>
  </si>
  <si>
    <t xml:space="preserve">Power</t>
  </si>
  <si>
    <t xml:space="preserve">Internal DC wire</t>
  </si>
  <si>
    <t xml:space="preserve">230VAC → 12V to carrier DC input</t>
  </si>
  <si>
    <t xml:space="preserve">IEC C14 inlet + fuse + switch</t>
  </si>
  <si>
    <t xml:space="preserve">Schaffner FN9244B or equiv.</t>
  </si>
  <si>
    <t xml:space="preserve">Schaffner</t>
  </si>
  <si>
    <t xml:space="preserve">230VAC chassis</t>
  </si>
  <si>
    <t xml:space="preserve">Standard EU mains entry, EMI filter</t>
  </si>
  <si>
    <t xml:space="preserve">UPS module</t>
  </si>
  <si>
    <t xml:space="preserve">Waveshare UPS HAT (E)</t>
  </si>
  <si>
    <t xml:space="preserve">GPIO power only</t>
  </si>
  <si>
    <t xml:space="preserve">I2C battery monitor, 4× 21700 cells</t>
  </si>
  <si>
    <t xml:space="preserve">UPS cells</t>
  </si>
  <si>
    <t xml:space="preserve">Samsung 21700 5000mAh ×4</t>
  </si>
  <si>
    <t xml:space="preserve">Samsung INR</t>
  </si>
  <si>
    <t xml:space="preserve">~2 hrs runtime at idle hub load</t>
  </si>
  <si>
    <t xml:space="preserve">PoE backup module</t>
  </si>
  <si>
    <t xml:space="preserve">Geekworm X15-POE1 (or equiv.)</t>
  </si>
  <si>
    <t xml:space="preserve">Geekworm</t>
  </si>
  <si>
    <t xml:space="preserve">GPIO + RJ45</t>
  </si>
  <si>
    <t xml:space="preserve">Backup power path via Cat6 cable, IEEE 802.3at</t>
  </si>
  <si>
    <t xml:space="preserve">Subtotal: POWER &amp; UPS</t>
  </si>
  <si>
    <t xml:space="preserve">COOLING</t>
  </si>
  <si>
    <t xml:space="preserve">CPU cooler</t>
  </si>
  <si>
    <t xml:space="preserve">Official RPi 5 Active Cooler</t>
  </si>
  <si>
    <t xml:space="preserve">JST-SH 4-pin</t>
  </si>
  <si>
    <t xml:space="preserve">Mounts on CM5 via standard fan connector</t>
  </si>
  <si>
    <t xml:space="preserve">Chassis exhaust fan</t>
  </si>
  <si>
    <t xml:space="preserve">Noctua NF-A8 5V</t>
  </si>
  <si>
    <t xml:space="preserve">Noctua</t>
  </si>
  <si>
    <t xml:space="preserve">USB 5V</t>
  </si>
  <si>
    <t xml:space="preserve">80mm low-noise case ventilation</t>
  </si>
  <si>
    <t xml:space="preserve">Subtotal: COOLING</t>
  </si>
  <si>
    <t xml:space="preserve">INTERNAL USB HUB</t>
  </si>
  <si>
    <t xml:space="preserve">USB 2.0/3.0 hub PCB</t>
  </si>
  <si>
    <t xml:space="preserve">Coolgear CG-3510S7 7-port board</t>
  </si>
  <si>
    <t xml:space="preserve">Coolgear</t>
  </si>
  <si>
    <t xml:space="preserve">USB hub</t>
  </si>
  <si>
    <t xml:space="preserve">USB 3.0 internal</t>
  </si>
  <si>
    <t xml:space="preserve">MTT chip, ESD protected, OEM-style</t>
  </si>
  <si>
    <t xml:space="preserve">Subtotal: INTERNAL USB HUB</t>
  </si>
  <si>
    <t xml:space="preserve">WIRELESS RADIOS</t>
  </si>
  <si>
    <t xml:space="preserve">Zigbee + Thread</t>
  </si>
  <si>
    <t xml:space="preserve">Sonoff ZBDONGLE-E (EFR32MG21)</t>
  </si>
  <si>
    <t xml:space="preserve">Sonoff</t>
  </si>
  <si>
    <t xml:space="preserve">Radio</t>
  </si>
  <si>
    <t xml:space="preserve">USB hub port 1</t>
  </si>
  <si>
    <t xml:space="preserve">Concurrent Zigbee 3.0 + Thread radio</t>
  </si>
  <si>
    <t xml:space="preserve">Z-Wave 800</t>
  </si>
  <si>
    <t xml:space="preserve">Aeotec Z-Stick 7 (ZWA010)</t>
  </si>
  <si>
    <t xml:space="preserve">Aeotec</t>
  </si>
  <si>
    <t xml:space="preserve">USB hub port 2</t>
  </si>
  <si>
    <t xml:space="preserve">Sub-GHz 868MHz, supports ZWLR-ready devices</t>
  </si>
  <si>
    <t xml:space="preserve">EnOcean 868</t>
  </si>
  <si>
    <t xml:space="preserve">EnOcean USB 300 (TCM310)</t>
  </si>
  <si>
    <t xml:space="preserve">EnOcean</t>
  </si>
  <si>
    <t xml:space="preserve">USB hub port 3</t>
  </si>
  <si>
    <t xml:space="preserve">Battery-free switches and sensors</t>
  </si>
  <si>
    <t xml:space="preserve">RF receiver</t>
  </si>
  <si>
    <t xml:space="preserve">RTL-SDR Blog V4</t>
  </si>
  <si>
    <t xml:space="preserve">RTL-SDR Blog</t>
  </si>
  <si>
    <t xml:space="preserve">USB hub port 4</t>
  </si>
  <si>
    <t xml:space="preserve">Passive RX 315/433/868/915 MHz</t>
  </si>
  <si>
    <t xml:space="preserve">Wi-Fi 6 AP</t>
  </si>
  <si>
    <t xml:space="preserve">Comfast CF-953AX (MT7921AU)</t>
  </si>
  <si>
    <t xml:space="preserve">Comfast</t>
  </si>
  <si>
    <t xml:space="preserve">USB hub port 5</t>
  </si>
  <si>
    <t xml:space="preserve">Dedicated AP mode, 2.4+5GHz dual-band</t>
  </si>
  <si>
    <t xml:space="preserve">NFC reader</t>
  </si>
  <si>
    <t xml:space="preserve">ACR122U (NXP PN532)</t>
  </si>
  <si>
    <t xml:space="preserve">ACS</t>
  </si>
  <si>
    <t xml:space="preserve">USB hub port 6</t>
  </si>
  <si>
    <t xml:space="preserve">NFC-A/B, ISO 14443, MIFARE, badge/keyfob</t>
  </si>
  <si>
    <t xml:space="preserve">Wi-Fi HaLow</t>
  </si>
  <si>
    <t xml:space="preserve">Vantron VT-USB-AH-8108 (MM8108)</t>
  </si>
  <si>
    <t xml:space="preserve">Vantron</t>
  </si>
  <si>
    <t xml:space="preserve">USB hub port 7</t>
  </si>
  <si>
    <t xml:space="preserve">802.11ah, sub-1GHz, 10× range vs Wi-Fi 6</t>
  </si>
  <si>
    <t xml:space="preserve">4G LTE + GNSS</t>
  </si>
  <si>
    <t xml:space="preserve">Waveshare SIM7600G-H-M.2</t>
  </si>
  <si>
    <t xml:space="preserve">M.2 B-Key</t>
  </si>
  <si>
    <t xml:space="preserve">Backup internet, GPS positioning, on-carrier slot</t>
  </si>
  <si>
    <t xml:space="preserve">Subtotal: WIRELESS RADIOS</t>
  </si>
  <si>
    <t xml:space="preserve">CASE &amp; ANTENNAS</t>
  </si>
  <si>
    <t xml:space="preserve">Custom metal case</t>
  </si>
  <si>
    <t xml:space="preserve">CNC aluminium or bent-metal</t>
  </si>
  <si>
    <t xml:space="preserve">Custom fab</t>
  </si>
  <si>
    <t xml:space="preserve">Case</t>
  </si>
  <si>
    <t xml:space="preserve">~220×160×60mm, single 230VAC + 2× RJ45 + 1× USB-A</t>
  </si>
  <si>
    <t xml:space="preserve">SMA bulkhead set</t>
  </si>
  <si>
    <t xml:space="preserve">8× SMA female-to-uFL pigtails</t>
  </si>
  <si>
    <t xml:space="preserve">Various</t>
  </si>
  <si>
    <t xml:space="preserve">Internal RF</t>
  </si>
  <si>
    <t xml:space="preserve">Antenna passthroughs for each dongle</t>
  </si>
  <si>
    <t xml:space="preserve">868 MHz antennas</t>
  </si>
  <si>
    <t xml:space="preserve">Sub-GHz omni 3dBi ×3</t>
  </si>
  <si>
    <t xml:space="preserve">SMA external</t>
  </si>
  <si>
    <t xml:space="preserve">Z-Wave, EnOcean, RF receiver</t>
  </si>
  <si>
    <t xml:space="preserve">2.4 GHz antennas</t>
  </si>
  <si>
    <t xml:space="preserve">Dual-band 5dBi ×3</t>
  </si>
  <si>
    <t xml:space="preserve">Zigbee, Wi-Fi AP, BT proxy</t>
  </si>
  <si>
    <t xml:space="preserve">4G LTE antenna</t>
  </si>
  <si>
    <t xml:space="preserve">LTE Cat-4 omni 2dBi ×2</t>
  </si>
  <si>
    <t xml:space="preserve">Diversity pair for SIM7600</t>
  </si>
  <si>
    <t xml:space="preserve">GPS antenna</t>
  </si>
  <si>
    <t xml:space="preserve">Active patch antenna SMA</t>
  </si>
  <si>
    <t xml:space="preserve">GNSS for SIM7600 module</t>
  </si>
  <si>
    <t xml:space="preserve">Subtotal: CASE &amp; ANTENNAS</t>
  </si>
  <si>
    <t xml:space="preserve">OPTIONAL — ON REQUEST</t>
  </si>
  <si>
    <t xml:space="preserve">KNX TP USB interface</t>
  </si>
  <si>
    <t xml:space="preserve">Weinzierl 332 USB</t>
  </si>
  <si>
    <t xml:space="preserve">Weinzierl</t>
  </si>
  <si>
    <t xml:space="preserve">Optional</t>
  </si>
  <si>
    <t xml:space="preserve">USB extra port</t>
  </si>
  <si>
    <t xml:space="preserve">Only if KNX TP installation present</t>
  </si>
  <si>
    <t xml:space="preserve">Full-band SDR</t>
  </si>
  <si>
    <t xml:space="preserve">HackRF One (clone or genuine)</t>
  </si>
  <si>
    <t xml:space="preserve">Great Scott Gadgets</t>
  </si>
  <si>
    <t xml:space="preserve">RF research / reverse engineering only</t>
  </si>
  <si>
    <t xml:space="preserve">Subtotal: OPTIONAL — ON REQUEST</t>
  </si>
  <si>
    <t xml:space="preserve">BASE BUILD TOTAL (Core only)</t>
  </si>
  <si>
    <t xml:space="preserve">GRAND TOTAL (incl. Optional)</t>
  </si>
  <si>
    <t xml:space="preserve">Software Stack</t>
  </si>
  <si>
    <t xml:space="preserve">OS, services, add-ons, integrations — all components running on the hub</t>
  </si>
  <si>
    <t xml:space="preserve">BASE OPERATING SYSTEM</t>
  </si>
  <si>
    <t xml:space="preserve">Software</t>
  </si>
  <si>
    <t xml:space="preserve">Role / Purpose</t>
  </si>
  <si>
    <t xml:space="preserve">License</t>
  </si>
  <si>
    <t xml:space="preserve">Layer</t>
  </si>
  <si>
    <t xml:space="preserve">Cost</t>
  </si>
  <si>
    <t xml:space="preserve">Notes</t>
  </si>
  <si>
    <t xml:space="preserve">Raspberry Pi OS Bookworm 64-bit</t>
  </si>
  <si>
    <t xml:space="preserve">Host operating system, Debian-based</t>
  </si>
  <si>
    <t xml:space="preserve">Free / Open Source</t>
  </si>
  <si>
    <t xml:space="preserve">OS</t>
  </si>
  <si>
    <t xml:space="preserve">€0/yr</t>
  </si>
  <si>
    <t xml:space="preserve">Stable, well-supported, current LTS as of 2026</t>
  </si>
  <si>
    <t xml:space="preserve">systemd-networkd + NetworkManager</t>
  </si>
  <si>
    <t xml:space="preserve">Network &amp; VPN management</t>
  </si>
  <si>
    <t xml:space="preserve">Built into Raspberry Pi OS</t>
  </si>
  <si>
    <t xml:space="preserve">Docker Engine + docker-compose</t>
  </si>
  <si>
    <t xml:space="preserve">Container runtime for all services</t>
  </si>
  <si>
    <t xml:space="preserve">All apps containerized, easy backup and migration</t>
  </si>
  <si>
    <t xml:space="preserve">ROUTER &amp; NETWORK</t>
  </si>
  <si>
    <t xml:space="preserve">OpenWrt (containerized)</t>
  </si>
  <si>
    <t xml:space="preserve">Multi-WAN failover, firewall, DHCP, NAT, VLAN</t>
  </si>
  <si>
    <t xml:space="preserve">Network</t>
  </si>
  <si>
    <t xml:space="preserve">Routes between WAN/LAN/4G with auto-failover</t>
  </si>
  <si>
    <t xml:space="preserve">hostapd</t>
  </si>
  <si>
    <t xml:space="preserve">Wi-Fi access point daemon</t>
  </si>
  <si>
    <t xml:space="preserve">Drives Comfast CF-953AX as dedicated IoT AP</t>
  </si>
  <si>
    <t xml:space="preserve">AdGuard Home</t>
  </si>
  <si>
    <t xml:space="preserve">Network-wide ad and tracker blocking</t>
  </si>
  <si>
    <t xml:space="preserve">DNS-based filtering, household-wide protection</t>
  </si>
  <si>
    <t xml:space="preserve">Tailscale daemon</t>
  </si>
  <si>
    <t xml:space="preserve">Mesh VPN for remote admin access</t>
  </si>
  <si>
    <t xml:space="preserve">Freemium</t>
  </si>
  <si>
    <t xml:space="preserve">Free tier covers up to 100 devices, WireGuard-based</t>
  </si>
  <si>
    <t xml:space="preserve">ModemManager</t>
  </si>
  <si>
    <t xml:space="preserve">4G LTE modem control + auto-reconnect</t>
  </si>
  <si>
    <t xml:space="preserve">Standard Linux modem control for SIM7600</t>
  </si>
  <si>
    <t xml:space="preserve">HOME ASSISTANT CORE</t>
  </si>
  <si>
    <t xml:space="preserve">Home Assistant (HA Container)</t>
  </si>
  <si>
    <t xml:space="preserve">Smart home automation platform</t>
  </si>
  <si>
    <t xml:space="preserve">Automation</t>
  </si>
  <si>
    <t xml:space="preserve">Core dashboards, integrations, automations</t>
  </si>
  <si>
    <t xml:space="preserve">HACS (Home Assistant Community Store)</t>
  </si>
  <si>
    <t xml:space="preserve">Custom integrations and dashboards repository</t>
  </si>
  <si>
    <t xml:space="preserve">Third-party integrations beyond core HA</t>
  </si>
  <si>
    <t xml:space="preserve">Mosquitto MQTT broker</t>
  </si>
  <si>
    <t xml:space="preserve">Message bus for Zigbee2MQTT and ESPHome</t>
  </si>
  <si>
    <t xml:space="preserve">Internal pub/sub backbone</t>
  </si>
  <si>
    <t xml:space="preserve">Nabu Casa Home Assistant Cloud</t>
  </si>
  <si>
    <t xml:space="preserve">Remote UI + voice + Google/Alexa bridges</t>
  </si>
  <si>
    <t xml:space="preserve">Subscription</t>
  </si>
  <si>
    <t xml:space="preserve">Cloud</t>
  </si>
  <si>
    <t xml:space="preserve">€75/yr</t>
  </si>
  <si>
    <t xml:space="preserve">Client-facing access, encryption, voice TTS/STT</t>
  </si>
  <si>
    <t xml:space="preserve">RADIO / PROTOCOL DRIVERS</t>
  </si>
  <si>
    <t xml:space="preserve">Zigbee2MQTT</t>
  </si>
  <si>
    <t xml:space="preserve">Zigbee 3.0 device manager + Matter support</t>
  </si>
  <si>
    <t xml:space="preserve">Protocol</t>
  </si>
  <si>
    <t xml:space="preserve">Talks to ZBDONGLE-E, 3000+ device library</t>
  </si>
  <si>
    <t xml:space="preserve">Z-Wave JS UI</t>
  </si>
  <si>
    <t xml:space="preserve">Z-Wave 800 controller + ZWLR ready</t>
  </si>
  <si>
    <t xml:space="preserve">Talks to Aeotec Z-Stick 7</t>
  </si>
  <si>
    <t xml:space="preserve">ESPHome</t>
  </si>
  <si>
    <t xml:space="preserve">ESP32 fleet flashing + OTA management</t>
  </si>
  <si>
    <t xml:space="preserve">Provisions and maintains distributed nodes</t>
  </si>
  <si>
    <t xml:space="preserve">OpenMQTTGateway</t>
  </si>
  <si>
    <t xml:space="preserve">Multi-protocol RF gateway firmware</t>
  </si>
  <si>
    <t xml:space="preserve">For external ESP32+NRF24L01 / CC1101 nodes</t>
  </si>
  <si>
    <t xml:space="preserve">rtl_433</t>
  </si>
  <si>
    <t xml:space="preserve">433/868 MHz decoder for RTL-SDR</t>
  </si>
  <si>
    <t xml:space="preserve">Decodes weather stations, TPMS, doorbells, etc.</t>
  </si>
  <si>
    <t xml:space="preserve">libnfc + nfcpy</t>
  </si>
  <si>
    <t xml:space="preserve">NFC reader stack for ACR122U</t>
  </si>
  <si>
    <t xml:space="preserve">MIFARE, ISO 14443 support</t>
  </si>
  <si>
    <t xml:space="preserve">morse-firmware (HaLow)</t>
  </si>
  <si>
    <t xml:space="preserve">Wi-Fi HaLow MM8108 driver + tools</t>
  </si>
  <si>
    <t xml:space="preserve">Vendor-licensed</t>
  </si>
  <si>
    <t xml:space="preserve">USB AP/STA control for HaLow IoT devices</t>
  </si>
  <si>
    <t xml:space="preserve">knxd (if KNX TP present)</t>
  </si>
  <si>
    <t xml:space="preserve">KNX bus daemon</t>
  </si>
  <si>
    <t xml:space="preserve">Optional — only if Weinzierl 332 USB installed</t>
  </si>
  <si>
    <t xml:space="preserve">AUTOMATION &amp; LOGIC</t>
  </si>
  <si>
    <t xml:space="preserve">Node-RED</t>
  </si>
  <si>
    <t xml:space="preserve">Visual flow-based automation editor</t>
  </si>
  <si>
    <t xml:space="preserve">Logic</t>
  </si>
  <si>
    <t xml:space="preserve">Complex logic that survives HA updates</t>
  </si>
  <si>
    <t xml:space="preserve">AppDaemon</t>
  </si>
  <si>
    <t xml:space="preserve">Python-based automation runtime (optional)</t>
  </si>
  <si>
    <t xml:space="preserve">For advanced users / specific use cases</t>
  </si>
  <si>
    <t xml:space="preserve">DATA &amp; DASHBOARDS</t>
  </si>
  <si>
    <t xml:space="preserve">InfluxDB</t>
  </si>
  <si>
    <t xml:space="preserve">Time-series database for long-term sensor history</t>
  </si>
  <si>
    <t xml:space="preserve">Data</t>
  </si>
  <si>
    <t xml:space="preserve">Years of high-resolution sensor logging</t>
  </si>
  <si>
    <t xml:space="preserve">Grafana</t>
  </si>
  <si>
    <t xml:space="preserve">Custom dashboards for energy + analytics</t>
  </si>
  <si>
    <t xml:space="preserve">Embedded in HA via iframe panel</t>
  </si>
  <si>
    <t xml:space="preserve">REMOTE ACCESS &amp; ADMIN</t>
  </si>
  <si>
    <t xml:space="preserve">Advanced SSH &amp; Web Terminal</t>
  </si>
  <si>
    <t xml:space="preserve">Browser-based system terminal</t>
  </si>
  <si>
    <t xml:space="preserve">Admin</t>
  </si>
  <si>
    <t xml:space="preserve">Accessible from HA frontend via Nabu Casa URL</t>
  </si>
  <si>
    <t xml:space="preserve">Studio Code Server (HA add-on)</t>
  </si>
  <si>
    <t xml:space="preserve">Browser VS Code for config editing</t>
  </si>
  <si>
    <t xml:space="preserve">YAML, automation, and template editing</t>
  </si>
  <si>
    <t xml:space="preserve">HA Google Drive Backup</t>
  </si>
  <si>
    <t xml:space="preserve">Automated nightly encrypted backups</t>
  </si>
  <si>
    <t xml:space="preserve">Backups to client's own Google account</t>
  </si>
  <si>
    <t xml:space="preserve">Watchtower (Docker container updater)</t>
  </si>
  <si>
    <t xml:space="preserve">Auto-update of containerized services</t>
  </si>
  <si>
    <t xml:space="preserve">Optional, recommended to disable for stability</t>
  </si>
  <si>
    <t xml:space="preserve">INTEGRATIONS (PRE-CONFIGURED)</t>
  </si>
  <si>
    <t xml:space="preserve">Open-Meteo Weather</t>
  </si>
  <si>
    <t xml:space="preserve">Local privacy-preserving weather data</t>
  </si>
  <si>
    <t xml:space="preserve">Integration</t>
  </si>
  <si>
    <t xml:space="preserve">No API key required, EU-hosted</t>
  </si>
  <si>
    <t xml:space="preserve">Google Calendar / Apple Calendar</t>
  </si>
  <si>
    <t xml:space="preserve">Time-aware automations from user's calendar</t>
  </si>
  <si>
    <t xml:space="preserve">Free (with account)</t>
  </si>
  <si>
    <t xml:space="preserve">OAuth tokens stored locally</t>
  </si>
  <si>
    <t xml:space="preserve">Spotify / Apple Music</t>
  </si>
  <si>
    <t xml:space="preserve">Media playback control</t>
  </si>
  <si>
    <t xml:space="preserve">Premium req'd</t>
  </si>
  <si>
    <t xml:space="preserve">user paid</t>
  </si>
  <si>
    <t xml:space="preserve">User's own subscription</t>
  </si>
  <si>
    <t xml:space="preserve">HDMI CEC</t>
  </si>
  <si>
    <t xml:space="preserve">Control AV receiver / TV via HDMI</t>
  </si>
  <si>
    <t xml:space="preserve">Active when HDMI used externally</t>
  </si>
  <si>
    <t xml:space="preserve">HA Companion App (iOS + Android)</t>
  </si>
  <si>
    <t xml:space="preserve">Mobile client with NFC, presence, notifications</t>
  </si>
  <si>
    <t xml:space="preserve">End-user phone app</t>
  </si>
  <si>
    <t xml:space="preserve">Total recurring software cost</t>
  </si>
  <si>
    <t xml:space="preserve">Only Nabu Casa subscription; everything else free open source</t>
  </si>
  <si>
    <t xml:space="preserve">Wireless Protocol Coverage</t>
  </si>
  <si>
    <t xml:space="preserve">All protocols covered (internally or via distributed nodes) · OmniComm spectrum</t>
  </si>
  <si>
    <t xml:space="preserve">CORE — BUILT INTO HUB</t>
  </si>
  <si>
    <t xml:space="preserve">Path / Hardware</t>
  </si>
  <si>
    <t xml:space="preserve">Usage</t>
  </si>
  <si>
    <t xml:space="preserve">Frequency</t>
  </si>
  <si>
    <t xml:space="preserve">Bandwidth</t>
  </si>
  <si>
    <t xml:space="preserve">Wi-Fi 4 / 5 / 6 (client)</t>
  </si>
  <si>
    <t xml:space="preserve">CM5 onboard BCM2712 + Comfast CF-953AX</t>
  </si>
  <si>
    <t xml:space="preserve">Connect hub to existing Wi-Fi networks</t>
  </si>
  <si>
    <t xml:space="preserve">2.4 + 5 GHz</t>
  </si>
  <si>
    <t xml:space="preserve">Up to 866 Mbps</t>
  </si>
  <si>
    <t xml:space="preserve">Wi-Fi 6 (AP mode)</t>
  </si>
  <si>
    <t xml:space="preserve">Comfast CF-953AX (MT7921AU) on internal USB hub</t>
  </si>
  <si>
    <t xml:space="preserve">Dedicated IoT VLAN AP with external antennas</t>
  </si>
  <si>
    <t xml:space="preserve">~650 Mbps</t>
  </si>
  <si>
    <t xml:space="preserve">Wi-Fi Direct</t>
  </si>
  <si>
    <t xml:space="preserve">Either Wi-Fi 6 chip in P2P mode</t>
  </si>
  <si>
    <t xml:space="preserve">Direct device-to-device pairing without router</t>
  </si>
  <si>
    <t xml:space="preserve">Up to 250 Mbps</t>
  </si>
  <si>
    <t xml:space="preserve">Bluetooth Classic (BR/EDR)</t>
  </si>
  <si>
    <t xml:space="preserve">CM5 onboard BT 5.0 controller</t>
  </si>
  <si>
    <t xml:space="preserve">Headsets, legacy AV pairing</t>
  </si>
  <si>
    <t xml:space="preserve">2.4 GHz</t>
  </si>
  <si>
    <t xml:space="preserve">1–3 Mbps</t>
  </si>
  <si>
    <t xml:space="preserve">Bluetooth LE 5.x</t>
  </si>
  <si>
    <t xml:space="preserve">CM5 onboard + distributed ESP32 BT proxies</t>
  </si>
  <si>
    <t xml:space="preserve">Sensors, beacons, BLE locks, body scales</t>
  </si>
  <si>
    <t xml:space="preserve">1–2 Mbps</t>
  </si>
  <si>
    <t xml:space="preserve">Bluetooth Mesh</t>
  </si>
  <si>
    <t xml:space="preserve">Same hardware, software stack</t>
  </si>
  <si>
    <t xml:space="preserve">Mesh lighting (Silvair, Casambi), industrial sensors</t>
  </si>
  <si>
    <t xml:space="preserve">1 Mbps per node</t>
  </si>
  <si>
    <t xml:space="preserve">Zigbee 3.0</t>
  </si>
  <si>
    <t xml:space="preserve">Sonoff ZBDONGLE-E (EFR32MG21) on internal USB</t>
  </si>
  <si>
    <t xml:space="preserve">Bulbs, plugs, sensors, valves — 3000+ device ecosystem</t>
  </si>
  <si>
    <t xml:space="preserve">250 kbps</t>
  </si>
  <si>
    <t xml:space="preserve">Thread / Matter-over-Thread</t>
  </si>
  <si>
    <t xml:space="preserve">Shared ZBDONGLE-E concurrent radio</t>
  </si>
  <si>
    <t xml:space="preserve">Matter-certified devices, IPv6 mesh</t>
  </si>
  <si>
    <t xml:space="preserve">6LoWPAN</t>
  </si>
  <si>
    <t xml:space="preserve">Shared ZBDONGLE-E radio</t>
  </si>
  <si>
    <t xml:space="preserve">IPv6 over 802.15.4, foundation of Thread</t>
  </si>
  <si>
    <t xml:space="preserve">Matter-over-Wi-Fi</t>
  </si>
  <si>
    <t xml:space="preserve">CM5 / Comfast Wi-Fi stack</t>
  </si>
  <si>
    <t xml:space="preserve">Matter devices using Wi-Fi transport</t>
  </si>
  <si>
    <t xml:space="preserve">Wi-Fi 6 limits</t>
  </si>
  <si>
    <t xml:space="preserve">Z-Wave 800 / Plus / ZWLR</t>
  </si>
  <si>
    <t xml:space="preserve">Aeotec Z-Stick 7 (ZWA010) on internal USB</t>
  </si>
  <si>
    <t xml:space="preserve">Locks, alarm sensors, dimmers — sub-GHz reliability</t>
  </si>
  <si>
    <t xml:space="preserve">868 MHz</t>
  </si>
  <si>
    <t xml:space="preserve">9.6–100 kbps</t>
  </si>
  <si>
    <t xml:space="preserve">EnOcean 868 MHz</t>
  </si>
  <si>
    <t xml:space="preserve">EnOcean USB 300 (TCM310) on internal USB</t>
  </si>
  <si>
    <t xml:space="preserve">Battery-free wireless switches and sensors</t>
  </si>
  <si>
    <t xml:space="preserve">125 kbps</t>
  </si>
  <si>
    <t xml:space="preserve">Wi-Fi HaLow (802.11ah)</t>
  </si>
  <si>
    <t xml:space="preserve">Vantron VT-USB-AH-8108 (Morse Micro MM8108)</t>
  </si>
  <si>
    <t xml:space="preserve">Sub-1GHz long-range IoT — solar cameras, ag sensors, smart meters</t>
  </si>
  <si>
    <t xml:space="preserve">868–915 MHz</t>
  </si>
  <si>
    <t xml:space="preserve">1–43.33 Mbps</t>
  </si>
  <si>
    <t xml:space="preserve">433/315/868/915 MHz RX</t>
  </si>
  <si>
    <t xml:space="preserve">RTL-SDR Blog V4 on internal USB</t>
  </si>
  <si>
    <t xml:space="preserve">Weather stations, TPMS, garage remotes, energy meters</t>
  </si>
  <si>
    <t xml:space="preserve">ISM bands</t>
  </si>
  <si>
    <t xml:space="preserve">~3 MHz IF BW</t>
  </si>
  <si>
    <t xml:space="preserve">NFC-A / NFC-B / ISO 14443</t>
  </si>
  <si>
    <t xml:space="preserve">ACR122U (PN532) on internal USB</t>
  </si>
  <si>
    <t xml:space="preserve">MIFARE access control, tag-to-act, badge entry</t>
  </si>
  <si>
    <t xml:space="preserve">13.56 MHz</t>
  </si>
  <si>
    <t xml:space="preserve">106–848 kbps</t>
  </si>
  <si>
    <t xml:space="preserve">MIFARE (Classic/Ultralight/DESFire)</t>
  </si>
  <si>
    <t xml:space="preserve">Same ACR122U reader</t>
  </si>
  <si>
    <t xml:space="preserve">Reads existing badge infrastructure</t>
  </si>
  <si>
    <t xml:space="preserve">Subset of 14443</t>
  </si>
  <si>
    <t xml:space="preserve">Ethernet — WAN</t>
  </si>
  <si>
    <t xml:space="preserve">Carrier board GbE port</t>
  </si>
  <si>
    <t xml:space="preserve">Primary internet uplink</t>
  </si>
  <si>
    <t xml:space="preserve">Wired</t>
  </si>
  <si>
    <t xml:space="preserve">1 Gbps</t>
  </si>
  <si>
    <t xml:space="preserve">Ethernet — LAN/IoT</t>
  </si>
  <si>
    <t xml:space="preserve">Carrier board 2.5 GbE port</t>
  </si>
  <si>
    <t xml:space="preserve">Dedicated IoT VLAN, PoE cameras</t>
  </si>
  <si>
    <t xml:space="preserve">2.5 Gbps</t>
  </si>
  <si>
    <t xml:space="preserve">4G LTE Cat-4 + GNSS</t>
  </si>
  <si>
    <t xml:space="preserve">Waveshare SIM7600G-H-M.2 in B-Key slot</t>
  </si>
  <si>
    <t xml:space="preserve">Backup internet, GPS positioning, time sync</t>
  </si>
  <si>
    <t xml:space="preserve">Cellular</t>
  </si>
  <si>
    <t xml:space="preserve">150/50 Mbps</t>
  </si>
  <si>
    <t xml:space="preserve">NFC tags (NTAG215 etc.)</t>
  </si>
  <si>
    <t xml:space="preserve">HA Companion App on user's phone</t>
  </si>
  <si>
    <t xml:space="preserve">Scene triggers via phone tap to wall tag</t>
  </si>
  <si>
    <t xml:space="preserve">106 kbps</t>
  </si>
  <si>
    <t xml:space="preserve">VIA DISTRIBUTED ESP32 NODES (External, room-level)</t>
  </si>
  <si>
    <t xml:space="preserve">Infrared (IR)</t>
  </si>
  <si>
    <t xml:space="preserve">Distributed ESP32 + IR LED per room (ESPHome)</t>
  </si>
  <si>
    <t xml:space="preserve">TVs, AV receivers, projectors, AC units</t>
  </si>
  <si>
    <t xml:space="preserve">IR optical</t>
  </si>
  <si>
    <t xml:space="preserve">Modulated 38kHz</t>
  </si>
  <si>
    <t xml:space="preserve">433/868 MHz bidirectional</t>
  </si>
  <si>
    <t xml:space="preserve">ESP32 + CC1101 transceiver (ESPHome)</t>
  </si>
  <si>
    <t xml:space="preserve">Roller shutters, RF switches, doorbells, RF outlets</t>
  </si>
  <si>
    <t xml:space="preserve">433/868 MHz</t>
  </si>
  <si>
    <t xml:space="preserve">1.2–500 kbps</t>
  </si>
  <si>
    <t xml:space="preserve">Nordic ESB / Gazell</t>
  </si>
  <si>
    <t xml:space="preserve">ESP32 + NRF24L01+ via OpenMQTTGateway</t>
  </si>
  <si>
    <t xml:space="preserve">Niche legacy wireless peripherals</t>
  </si>
  <si>
    <t xml:space="preserve">0.25–2 Mbps</t>
  </si>
  <si>
    <t xml:space="preserve">Proprietary Xiaomi/Tuya 2.4GHz</t>
  </si>
  <si>
    <t xml:space="preserve">Same ESP32 + NRF24L01+ approach</t>
  </si>
  <si>
    <t xml:space="preserve">Specific legacy non-Zigbee Mi devices</t>
  </si>
  <si>
    <t xml:space="preserve">Variable</t>
  </si>
  <si>
    <t xml:space="preserve">LF RFID 125 kHz (EM4100)</t>
  </si>
  <si>
    <t xml:space="preserve">ESP32 + RDM6300 at door (ESPHome)</t>
  </si>
  <si>
    <t xml:space="preserve">Legacy access systems already in place</t>
  </si>
  <si>
    <t xml:space="preserve">125 kHz</t>
  </si>
  <si>
    <t xml:space="preserve">4 kbps</t>
  </si>
  <si>
    <t xml:space="preserve">Bluetooth proxy extension</t>
  </si>
  <si>
    <t xml:space="preserve">ESP32 BT proxy nodes spread through building</t>
  </si>
  <si>
    <t xml:space="preserve">Extend BLE coverage beyond hub vicinity</t>
  </si>
  <si>
    <t xml:space="preserve">VIA NETWORK / GATEWAY (External, IP-based)</t>
  </si>
  <si>
    <t xml:space="preserve">KNX IP</t>
  </si>
  <si>
    <t xml:space="preserve">CM5 Ethernet → existing KNX IP Router on LAN</t>
  </si>
  <si>
    <t xml:space="preserve">Professional building automation, DALI, façades</t>
  </si>
  <si>
    <t xml:space="preserve">Wired/IP</t>
  </si>
  <si>
    <t xml:space="preserve">9.6 kbps logical</t>
  </si>
  <si>
    <t xml:space="preserve">KNX TP (twisted pair)</t>
  </si>
  <si>
    <t xml:space="preserve">Weinzierl 332 USB on internal hub (optional)</t>
  </si>
  <si>
    <t xml:space="preserve">Direct KNX bus access without separate router</t>
  </si>
  <si>
    <t xml:space="preserve">9.6 kbps</t>
  </si>
  <si>
    <t xml:space="preserve">LoRa / LoRaWAN</t>
  </si>
  <si>
    <t xml:space="preserve">RAK7268 LoRaWAN gateway on Ethernet</t>
  </si>
  <si>
    <t xml:space="preserve">km-range garden, pool, outbuilding sensors</t>
  </si>
  <si>
    <t xml:space="preserve">0.3–50 kbps</t>
  </si>
  <si>
    <t xml:space="preserve">Meshtastic</t>
  </si>
  <si>
    <t xml:space="preserve">LILYGO T-Beam over USB or Wi-Fi</t>
  </si>
  <si>
    <t xml:space="preserve">Off-grid encrypted mesh, perimeter, emergency</t>
  </si>
  <si>
    <t xml:space="preserve">0.3–11 kbps</t>
  </si>
  <si>
    <t xml:space="preserve">Modbus RTU</t>
  </si>
  <si>
    <t xml:space="preserve">USB RS-485 adapter on internal hub (when needed)</t>
  </si>
  <si>
    <t xml:space="preserve">Solar inverters, heat pumps, HVAC, EV chargers</t>
  </si>
  <si>
    <t xml:space="preserve">9.6–115 kbps</t>
  </si>
  <si>
    <t xml:space="preserve">NOT COVERED / NICHE — see notes</t>
  </si>
  <si>
    <t xml:space="preserve">Wi-Fi 7 (802.11be)</t>
  </si>
  <si>
    <t xml:space="preserve">⚠ Skip — no stable USB AP-mode adapters yet</t>
  </si>
  <si>
    <t xml:space="preserve">Revisit 2027 when proper USB adapters mature</t>
  </si>
  <si>
    <t xml:space="preserve">Future</t>
  </si>
  <si>
    <t xml:space="preserve">KNX RF</t>
  </si>
  <si>
    <t xml:space="preserve">⚠ Niche — very rare in residential, capture via SDR</t>
  </si>
  <si>
    <t xml:space="preserve">Wireless KNX devices (uncommon)</t>
  </si>
  <si>
    <t xml:space="preserve">16.4 kbps</t>
  </si>
  <si>
    <t xml:space="preserve">NFC-F (FeliCa)</t>
  </si>
  <si>
    <t xml:space="preserve">⚠ Japanese transit only, rarely relevant in EU</t>
  </si>
  <si>
    <t xml:space="preserve">Japanese transit and payment systems</t>
  </si>
  <si>
    <t xml:space="preserve">Full-band SDR TX 1MHz–6GHz</t>
  </si>
  <si>
    <t xml:space="preserve">⚠ HackRF One on request only — research tool</t>
  </si>
  <si>
    <t xml:space="preserve">RF research, reverse engineering of proprietary</t>
  </si>
  <si>
    <t xml:space="preserve">1MHz–6GHz</t>
  </si>
  <si>
    <t xml:space="preserve">20 MHz BW</t>
  </si>
  <si>
    <t xml:space="preserve">COVERAGE STATISTICS</t>
  </si>
  <si>
    <t xml:space="preserve">Total protocols covered (Core)</t>
  </si>
  <si>
    <t xml:space="preserve">Total protocols covered (Optional)</t>
  </si>
  <si>
    <t xml:space="preserve">Total Future / not yet covered</t>
  </si>
  <si>
    <t xml:space="preserve">Total in protocol matrix</t>
  </si>
  <si>
    <t xml:space="preserve">I/O Topology — Carrier Board Port Allocation</t>
  </si>
  <si>
    <t xml:space="preserve">Waveshare CM5-DUAL-ETH-4G/5G-BASE · all assignments</t>
  </si>
  <si>
    <t xml:space="preserve">PHYSICAL PORTS — CASE EXTERIOR</t>
  </si>
  <si>
    <t xml:space="preserve">Port (carrier board)</t>
  </si>
  <si>
    <t xml:space="preserve">Type</t>
  </si>
  <si>
    <t xml:space="preserve">Assigned to</t>
  </si>
  <si>
    <t xml:space="preserve">RJ45 #1 (GbE)</t>
  </si>
  <si>
    <t xml:space="preserve">Ethernet 1 Gbps</t>
  </si>
  <si>
    <t xml:space="preserve">WAN / internet uplink</t>
  </si>
  <si>
    <t xml:space="preserve">Primary internet path, OpenWRT routes from here</t>
  </si>
  <si>
    <t xml:space="preserve">RJ45 #2 (2.5 GbE)</t>
  </si>
  <si>
    <t xml:space="preserve">Ethernet 2.5 Gbps</t>
  </si>
  <si>
    <t xml:space="preserve">LAN / IoT VLAN + PoE camera switch</t>
  </si>
  <si>
    <t xml:space="preserve">Higher bandwidth for local high-speed devices</t>
  </si>
  <si>
    <t xml:space="preserve">USB-A external</t>
  </si>
  <si>
    <t xml:space="preserve">USB 2.0</t>
  </si>
  <si>
    <t xml:space="preserve">ESP32 provisioning port</t>
  </si>
  <si>
    <t xml:space="preserve">Only USB-A on case exterior, for occasional flashing</t>
  </si>
  <si>
    <t xml:space="preserve">IEC C14 inlet</t>
  </si>
  <si>
    <t xml:space="preserve">230VAC mains</t>
  </si>
  <si>
    <t xml:space="preserve">Primary AC power input</t>
  </si>
  <si>
    <t xml:space="preserve">Schuko/Type-F via supplied cable</t>
  </si>
  <si>
    <t xml:space="preserve">SMA bulkheads × 9</t>
  </si>
  <si>
    <t xml:space="preserve">RF coaxial</t>
  </si>
  <si>
    <t xml:space="preserve">External antennas</t>
  </si>
  <si>
    <t xml:space="preserve">Zigbee/Thread, Z-Wave, EnOcean, RTL-SDR, Wi-Fi 6 ×2, HaLow, LTE ×2, GPS</t>
  </si>
  <si>
    <t xml:space="preserve">INTERNAL — CARRIER BOARD</t>
  </si>
  <si>
    <t xml:space="preserve">USB 3.2 Gen1 #1</t>
  </si>
  <si>
    <t xml:space="preserve">USB 3.0</t>
  </si>
  <si>
    <t xml:space="preserve">Internal 7-port USB 2.0/3.0 hub</t>
  </si>
  <si>
    <t xml:space="preserve">Multiplied to 7 internal ports</t>
  </si>
  <si>
    <t xml:space="preserve">USB 3.2 Gen1 #2</t>
  </si>
  <si>
    <t xml:space="preserve">Routed to case-exterior USB-A</t>
  </si>
  <si>
    <t xml:space="preserve">USB 2.0 Type-C</t>
  </si>
  <si>
    <t xml:space="preserve">Reserved — eMMC programming</t>
  </si>
  <si>
    <t xml:space="preserve">Accessible inside case for recovery flashing</t>
  </si>
  <si>
    <t xml:space="preserve">PCIe Gen 2 ×1</t>
  </si>
  <si>
    <t xml:space="preserve">NVMe SSD (WD SN770 512GB)</t>
  </si>
  <si>
    <t xml:space="preserve">Primary storage, 400+ MB/s sustained</t>
  </si>
  <si>
    <t xml:space="preserve">PCIe + USB</t>
  </si>
  <si>
    <t xml:space="preserve">Waveshare SIM7600G-H-M.2 (4G LTE)</t>
  </si>
  <si>
    <t xml:space="preserve">Cellular backup + GPS, onboard Nano SIM slot</t>
  </si>
  <si>
    <t xml:space="preserve">40-pin GPIO header</t>
  </si>
  <si>
    <t xml:space="preserve">GPIO + I2C/SPI/UART</t>
  </si>
  <si>
    <t xml:space="preserve">Waveshare UPS HAT (E) — power only</t>
  </si>
  <si>
    <t xml:space="preserve">I2C battery monitoring, GPIO 2/3 reserved</t>
  </si>
  <si>
    <t xml:space="preserve">12V DC input (5.5×2.1)</t>
  </si>
  <si>
    <t xml:space="preserve">DC barrel</t>
  </si>
  <si>
    <t xml:space="preserve">Mean Well RS-25-12 output</t>
  </si>
  <si>
    <t xml:space="preserve">From internal AC-DC module</t>
  </si>
  <si>
    <t xml:space="preserve">Fan header (JST-SH 4-pin)</t>
  </si>
  <si>
    <t xml:space="preserve">PWM fan</t>
  </si>
  <si>
    <t xml:space="preserve">CM5 PWM-controlled cooling</t>
  </si>
  <si>
    <t xml:space="preserve">RTC battery socket</t>
  </si>
  <si>
    <t xml:space="preserve">CR/ML1220</t>
  </si>
  <si>
    <t xml:space="preserve">Real-time clock backup cell</t>
  </si>
  <si>
    <t xml:space="preserve">Maintains time across power-off events</t>
  </si>
  <si>
    <t xml:space="preserve">HDMI 0</t>
  </si>
  <si>
    <t xml:space="preserve">HDMI 2.0 4K</t>
  </si>
  <si>
    <t xml:space="preserve">Capped — unused in hub</t>
  </si>
  <si>
    <t xml:space="preserve">Available for future external monitor</t>
  </si>
  <si>
    <t xml:space="preserve">HDMI 1</t>
  </si>
  <si>
    <t xml:space="preserve">MIPI CAM/DISP 0</t>
  </si>
  <si>
    <t xml:space="preserve">4-lane MIPI</t>
  </si>
  <si>
    <t xml:space="preserve">Hub does not host cameras or displays</t>
  </si>
  <si>
    <t xml:space="preserve">MIPI CAM/DISP 1</t>
  </si>
  <si>
    <t xml:space="preserve">INTERNAL USB HUB PORT ALLOCATION (7-port MTT)</t>
  </si>
  <si>
    <t xml:space="preserve">Hub port 1</t>
  </si>
  <si>
    <t xml:space="preserve">Sonoff ZBDONGLE-E</t>
  </si>
  <si>
    <t xml:space="preserve">Zigbee 3.0 + Thread</t>
  </si>
  <si>
    <t xml:space="preserve">Hub port 2</t>
  </si>
  <si>
    <t xml:space="preserve">Aeotec Z-Stick 7</t>
  </si>
  <si>
    <t xml:space="preserve">Hub port 3</t>
  </si>
  <si>
    <t xml:space="preserve">EnOcean USB 300</t>
  </si>
  <si>
    <t xml:space="preserve">868 MHz battery-free switches</t>
  </si>
  <si>
    <t xml:space="preserve">Hub port 4</t>
  </si>
  <si>
    <t xml:space="preserve">RF receive 315/433/868/915 MHz</t>
  </si>
  <si>
    <t xml:space="preserve">Hub port 5</t>
  </si>
  <si>
    <t xml:space="preserve">Comfast CF-953AX</t>
  </si>
  <si>
    <t xml:space="preserve">Wi-Fi 6 AP mode</t>
  </si>
  <si>
    <t xml:space="preserve">Hub port 6</t>
  </si>
  <si>
    <t xml:space="preserve">ACR122U NFC reader</t>
  </si>
  <si>
    <t xml:space="preserve">NFC-A/B, ISO 14443, MIFARE</t>
  </si>
  <si>
    <t xml:space="preserve">Hub port 7</t>
  </si>
  <si>
    <t xml:space="preserve">Vantron VT-USB-AH-8108</t>
  </si>
  <si>
    <t xml:space="preserve">Wi-Fi HaLow sub-GHz IoT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</si>
</sst>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€#,##0;[RED]&quot;€(&quot;#,##0\);\-"/>
    <numFmt numFmtId="167" formatCode="\€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0C0F"/>
      <name val="Arial"/>
      <family val="0"/>
      <charset val="1"/>
    </font>
    <font>
      <i val="true"/>
      <sz val="9"/>
      <color rgb="FF6B708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0C0F"/>
      <name val="Arial"/>
      <family val="0"/>
      <charset val="1"/>
    </font>
    <font>
      <sz val="10"/>
      <color rgb="FF0B0C0F"/>
      <name val="Arial"/>
      <family val="0"/>
      <charset val="1"/>
    </font>
    <font>
      <b val="true"/>
      <sz val="11"/>
      <color rgb="FF0B0C0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A2E3D"/>
        <bgColor rgb="FF333300"/>
      </patternFill>
    </fill>
    <fill>
      <patternFill patternType="solid">
        <fgColor rgb="FFF4F5F8"/>
        <bgColor rgb="FFF0F2F8"/>
      </patternFill>
    </fill>
    <fill>
      <patternFill patternType="solid">
        <fgColor rgb="FFFFF3C4"/>
        <bgColor rgb="FFFBE3D3"/>
      </patternFill>
    </fill>
    <fill>
      <patternFill patternType="solid">
        <fgColor rgb="FFE8F5D3"/>
        <bgColor rgb="FFF0F2F8"/>
      </patternFill>
    </fill>
    <fill>
      <patternFill patternType="solid">
        <fgColor rgb="FFFBE3D3"/>
        <bgColor rgb="FFFFF3C4"/>
      </patternFill>
    </fill>
    <fill>
      <patternFill patternType="solid">
        <fgColor rgb="FF4B5275"/>
        <bgColor rgb="FF6B7089"/>
      </patternFill>
    </fill>
    <fill>
      <patternFill patternType="solid">
        <fgColor rgb="FFE5E7EB"/>
        <bgColor rgb="FFF0F2F8"/>
      </patternFill>
    </fill>
    <fill>
      <patternFill patternType="solid">
        <fgColor rgb="FFF0F2F8"/>
        <bgColor rgb="FFF4F5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9D6"/>
      </left>
      <right style="thin">
        <color rgb="FFC5C9D6"/>
      </right>
      <top style="thin">
        <color rgb="FFC5C9D6"/>
      </top>
      <bottom style="thin">
        <color rgb="FFC5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9D6"/>
      <rgbColor rgb="FF808080"/>
      <rgbColor rgb="FF9999FF"/>
      <rgbColor rgb="FF993366"/>
      <rgbColor rgb="FFFFF3C4"/>
      <rgbColor rgb="FFF0F2F8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8"/>
      <rgbColor rgb="FFE8F5D3"/>
      <rgbColor rgb="FFFFFF99"/>
      <rgbColor rgb="FF99CCFF"/>
      <rgbColor rgb="FFFF99CC"/>
      <rgbColor rgb="FFCC99FF"/>
      <rgbColor rgb="FFFBE3D3"/>
      <rgbColor rgb="FF3366FF"/>
      <rgbColor rgb="FF33CCCC"/>
      <rgbColor rgb="FF99CC00"/>
      <rgbColor rgb="FFFFCC00"/>
      <rgbColor rgb="FFFF9900"/>
      <rgbColor rgb="FFFF6600"/>
      <rgbColor rgb="FF6B7089"/>
      <rgbColor rgb="FF969696"/>
      <rgbColor rgb="FF003366"/>
      <rgbColor rgb="FF339966"/>
      <rgbColor rgb="FF0B0C0F"/>
      <rgbColor rgb="FF333300"/>
      <rgbColor rgb="FF993300"/>
      <rgbColor rgb="FF993366"/>
      <rgbColor rgb="FF4B5275"/>
      <rgbColor rgb="FF2A2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4" min="3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15" hidden="false" customHeight="true" outlineLevel="0" collapsed="false">
      <c r="A6" s="6" t="s">
        <v>5</v>
      </c>
      <c r="B6" s="7" t="s">
        <v>6</v>
      </c>
      <c r="C6" s="7"/>
      <c r="D6" s="7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15" hidden="false" customHeight="true" outlineLevel="0" collapsed="false">
      <c r="A8" s="6" t="s">
        <v>9</v>
      </c>
      <c r="B8" s="7" t="s">
        <v>10</v>
      </c>
      <c r="C8" s="7"/>
      <c r="D8" s="7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</row>
    <row r="10" customFormat="false" ht="15" hidden="false" customHeight="true" outlineLevel="0" collapsed="false">
      <c r="A10" s="6" t="s">
        <v>13</v>
      </c>
      <c r="B10" s="7" t="s">
        <v>14</v>
      </c>
      <c r="C10" s="7"/>
      <c r="D10" s="7"/>
    </row>
    <row r="11" customFormat="false" ht="15" hidden="false" customHeight="true" outlineLevel="0" collapsed="false">
      <c r="A11" s="4" t="s">
        <v>15</v>
      </c>
      <c r="B11" s="5" t="s">
        <v>16</v>
      </c>
      <c r="C11" s="5"/>
      <c r="D11" s="5"/>
    </row>
    <row r="12" customFormat="false" ht="15" hidden="false" customHeight="true" outlineLevel="0" collapsed="false">
      <c r="A12" s="6" t="s">
        <v>17</v>
      </c>
      <c r="B12" s="7" t="s">
        <v>18</v>
      </c>
      <c r="C12" s="7"/>
      <c r="D12" s="7"/>
    </row>
    <row r="13" customFormat="false" ht="15" hidden="false" customHeight="true" outlineLevel="0" collapsed="false">
      <c r="A13" s="4" t="s">
        <v>19</v>
      </c>
      <c r="B13" s="5" t="s">
        <v>20</v>
      </c>
      <c r="C13" s="5"/>
      <c r="D13" s="5"/>
    </row>
    <row r="14" customFormat="false" ht="15" hidden="false" customHeight="true" outlineLevel="0" collapsed="false">
      <c r="A14" s="6" t="s">
        <v>21</v>
      </c>
      <c r="B14" s="7" t="s">
        <v>22</v>
      </c>
      <c r="C14" s="7"/>
      <c r="D14" s="7"/>
    </row>
    <row r="17" customFormat="false" ht="15" hidden="false" customHeight="true" outlineLevel="0" collapsed="false">
      <c r="A17" s="3" t="s">
        <v>23</v>
      </c>
      <c r="B17" s="3"/>
      <c r="C17" s="3"/>
      <c r="D17" s="3"/>
    </row>
    <row r="18" customFormat="false" ht="15" hidden="false" customHeight="false" outlineLevel="0" collapsed="false">
      <c r="A18" s="8" t="s">
        <v>24</v>
      </c>
      <c r="B18" s="8" t="s">
        <v>25</v>
      </c>
      <c r="C18" s="8" t="s">
        <v>26</v>
      </c>
      <c r="D18" s="8" t="s">
        <v>27</v>
      </c>
    </row>
    <row r="19" customFormat="false" ht="15" hidden="false" customHeight="false" outlineLevel="0" collapsed="false">
      <c r="A19" s="4" t="s">
        <v>28</v>
      </c>
      <c r="B19" s="5" t="s">
        <v>29</v>
      </c>
      <c r="C19" s="9" t="n">
        <f aca="false">COUNTIF(Hardware!E:E,"Core compute")</f>
        <v>3</v>
      </c>
      <c r="D19" s="10" t="n">
        <f aca="false">SUMPRODUCT((Hardware!E5:E60="Core compute")*IFERROR(Hardware!G5:G60*Hardware!H5:H60,0))</f>
        <v>167</v>
      </c>
    </row>
    <row r="20" customFormat="false" ht="15" hidden="false" customHeight="false" outlineLevel="0" collapsed="false">
      <c r="A20" s="6" t="s">
        <v>30</v>
      </c>
      <c r="B20" s="7" t="s">
        <v>31</v>
      </c>
      <c r="C20" s="11" t="n">
        <f aca="false">COUNTIF(Hardware!E:E,"Power")</f>
        <v>5</v>
      </c>
      <c r="D20" s="12" t="n">
        <f aca="false">SUMPRODUCT((Hardware!E5:E60="Power")*IFERROR(Hardware!G5:G60*Hardware!H5:H60,0))</f>
        <v>128</v>
      </c>
    </row>
    <row r="21" customFormat="false" ht="15" hidden="false" customHeight="false" outlineLevel="0" collapsed="false">
      <c r="A21" s="4" t="s">
        <v>32</v>
      </c>
      <c r="B21" s="5" t="s">
        <v>33</v>
      </c>
      <c r="C21" s="9" t="n">
        <f aca="false">COUNTIF(Hardware!E:E,"Cooling")</f>
        <v>2</v>
      </c>
      <c r="D21" s="10" t="n">
        <f aca="false">SUMPRODUCT((Hardware!E5:E60="Cooling")*IFERROR(Hardware!G5:G60*Hardware!H5:H60,0))</f>
        <v>30</v>
      </c>
    </row>
    <row r="22" customFormat="false" ht="15" hidden="false" customHeight="false" outlineLevel="0" collapsed="false">
      <c r="A22" s="6" t="s">
        <v>34</v>
      </c>
      <c r="B22" s="7" t="s">
        <v>35</v>
      </c>
      <c r="C22" s="11" t="n">
        <f aca="false">COUNTIF(Hardware!E:E,"USB hub")</f>
        <v>1</v>
      </c>
      <c r="D22" s="12" t="n">
        <f aca="false">SUMPRODUCT((Hardware!E5:E60="USB hub")*IFERROR(Hardware!G5:G60*Hardware!H5:H60,0))</f>
        <v>75</v>
      </c>
    </row>
    <row r="23" customFormat="false" ht="23.85" hidden="false" customHeight="false" outlineLevel="0" collapsed="false">
      <c r="A23" s="4" t="s">
        <v>36</v>
      </c>
      <c r="B23" s="5" t="s">
        <v>37</v>
      </c>
      <c r="C23" s="9" t="n">
        <f aca="false">COUNTIF(Hardware!E:E,"Radio")</f>
        <v>8</v>
      </c>
      <c r="D23" s="10" t="n">
        <f aca="false">SUMPRODUCT((Hardware!E5:E60="Radio")*IFERROR(Hardware!G5:G60*Hardware!H5:H60,0))</f>
        <v>445</v>
      </c>
    </row>
    <row r="24" customFormat="false" ht="15" hidden="false" customHeight="false" outlineLevel="0" collapsed="false">
      <c r="A24" s="6" t="s">
        <v>38</v>
      </c>
      <c r="B24" s="7" t="s">
        <v>39</v>
      </c>
      <c r="C24" s="11" t="n">
        <f aca="false">COUNTIF(Hardware!E:E,"Case")</f>
        <v>6</v>
      </c>
      <c r="D24" s="12" t="n">
        <f aca="false">SUMPRODUCT((Hardware!E5:E60="Case")*IFERROR(Hardware!G5:G60*Hardware!H5:H60,0))</f>
        <v>177</v>
      </c>
    </row>
    <row r="25" customFormat="false" ht="15" hidden="false" customHeight="false" outlineLevel="0" collapsed="false">
      <c r="A25" s="4" t="s">
        <v>40</v>
      </c>
      <c r="B25" s="5" t="s">
        <v>41</v>
      </c>
      <c r="C25" s="9" t="n">
        <f aca="false">COUNTIF(Hardware!E:E,"Optional")</f>
        <v>2</v>
      </c>
      <c r="D25" s="10" t="n">
        <f aca="false">SUMPRODUCT((Hardware!E5:E60="Optional")*IFERROR(Hardware!G5:G60*Hardware!H5:H60,0))</f>
        <v>350</v>
      </c>
    </row>
    <row r="26" customFormat="false" ht="15" hidden="false" customHeight="false" outlineLevel="0" collapsed="false">
      <c r="A26" s="13" t="s">
        <v>42</v>
      </c>
      <c r="B26" s="14" t="s">
        <v>43</v>
      </c>
      <c r="C26" s="15" t="n">
        <f aca="false">SUM(C19:C24)</f>
        <v>25</v>
      </c>
      <c r="D26" s="16" t="n">
        <f aca="false">SUM(D19:D24)</f>
        <v>1022</v>
      </c>
    </row>
    <row r="27" customFormat="false" ht="15" hidden="false" customHeight="false" outlineLevel="0" collapsed="false">
      <c r="A27" s="13" t="s">
        <v>44</v>
      </c>
      <c r="B27" s="14" t="s">
        <v>45</v>
      </c>
      <c r="C27" s="15" t="n">
        <f aca="false">SUM(C19:C25)</f>
        <v>27</v>
      </c>
      <c r="D27" s="16" t="n">
        <f aca="false">SUM(D19:D25)</f>
        <v>1372</v>
      </c>
    </row>
    <row r="29" customFormat="false" ht="15" hidden="false" customHeight="false" outlineLevel="0" collapsed="false">
      <c r="A29" s="17" t="s">
        <v>46</v>
      </c>
      <c r="B29" s="17"/>
      <c r="C29" s="17"/>
      <c r="D29" s="17"/>
    </row>
    <row r="30" customFormat="false" ht="15" hidden="false" customHeight="false" outlineLevel="0" collapsed="false">
      <c r="A30" s="18" t="s">
        <v>47</v>
      </c>
      <c r="B30" s="19" t="s">
        <v>48</v>
      </c>
      <c r="C30" s="19"/>
      <c r="D30" s="19"/>
    </row>
    <row r="31" customFormat="false" ht="15" hidden="false" customHeight="false" outlineLevel="0" collapsed="false">
      <c r="A31" s="20" t="s">
        <v>49</v>
      </c>
      <c r="B31" s="19" t="s">
        <v>50</v>
      </c>
      <c r="C31" s="19"/>
      <c r="D31" s="19"/>
    </row>
    <row r="32" customFormat="false" ht="15" hidden="false" customHeight="false" outlineLevel="0" collapsed="false">
      <c r="A32" s="21" t="s">
        <v>51</v>
      </c>
      <c r="B32" s="19" t="s">
        <v>52</v>
      </c>
      <c r="C32" s="19"/>
      <c r="D32" s="19"/>
    </row>
    <row r="33" customFormat="false" ht="15" hidden="false" customHeight="false" outlineLevel="0" collapsed="false">
      <c r="A33" s="21" t="s">
        <v>53</v>
      </c>
      <c r="B33" s="19" t="s">
        <v>54</v>
      </c>
      <c r="C33" s="19"/>
      <c r="D33" s="19"/>
    </row>
    <row r="34" customFormat="false" ht="15" hidden="false" customHeight="false" outlineLevel="0" collapsed="false">
      <c r="A34" s="21" t="s">
        <v>55</v>
      </c>
      <c r="B34" s="19" t="s">
        <v>56</v>
      </c>
      <c r="C34" s="19"/>
      <c r="D34" s="19"/>
    </row>
  </sheetData>
  <mergeCells count="21">
    <mergeCell ref="A1:D1"/>
    <mergeCell ref="A2:D2"/>
    <mergeCell ref="B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7:D17"/>
    <mergeCell ref="A29:D29"/>
    <mergeCell ref="B30:D30"/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22" t="s">
        <v>59</v>
      </c>
      <c r="B4" s="22"/>
      <c r="C4" s="22"/>
      <c r="D4" s="22"/>
      <c r="E4" s="22"/>
      <c r="F4" s="22"/>
      <c r="G4" s="22"/>
      <c r="H4" s="22"/>
      <c r="I4" s="22"/>
      <c r="J4" s="22"/>
    </row>
    <row r="5" customFormat="false" ht="15" hidden="false" customHeight="false" outlineLevel="0" collapsed="false">
      <c r="A5" s="8" t="s">
        <v>60</v>
      </c>
      <c r="B5" s="8" t="s">
        <v>61</v>
      </c>
      <c r="C5" s="8" t="s">
        <v>62</v>
      </c>
      <c r="D5" s="8" t="s">
        <v>63</v>
      </c>
      <c r="E5" s="8" t="s">
        <v>24</v>
      </c>
      <c r="F5" s="8" t="s">
        <v>64</v>
      </c>
      <c r="G5" s="8" t="s">
        <v>65</v>
      </c>
      <c r="H5" s="8" t="s">
        <v>66</v>
      </c>
      <c r="I5" s="8" t="s">
        <v>67</v>
      </c>
      <c r="J5" s="8" t="s">
        <v>68</v>
      </c>
    </row>
    <row r="6" customFormat="false" ht="23.85" hidden="false" customHeight="false" outlineLevel="0" collapsed="false">
      <c r="A6" s="9" t="n">
        <v>1</v>
      </c>
      <c r="B6" s="23" t="s">
        <v>69</v>
      </c>
      <c r="C6" s="24" t="s">
        <v>70</v>
      </c>
      <c r="D6" s="24" t="s">
        <v>71</v>
      </c>
      <c r="E6" s="24" t="s">
        <v>72</v>
      </c>
      <c r="F6" s="25" t="s">
        <v>73</v>
      </c>
      <c r="G6" s="9" t="n">
        <v>1</v>
      </c>
      <c r="H6" s="26" t="n">
        <v>70</v>
      </c>
      <c r="I6" s="24" t="s">
        <v>74</v>
      </c>
      <c r="J6" s="24" t="s">
        <v>75</v>
      </c>
    </row>
    <row r="7" customFormat="false" ht="23.85" hidden="false" customHeight="false" outlineLevel="0" collapsed="false">
      <c r="A7" s="11" t="n">
        <v>2</v>
      </c>
      <c r="B7" s="27" t="s">
        <v>76</v>
      </c>
      <c r="C7" s="28" t="s">
        <v>77</v>
      </c>
      <c r="D7" s="28" t="s">
        <v>78</v>
      </c>
      <c r="E7" s="28" t="s">
        <v>72</v>
      </c>
      <c r="F7" s="25" t="s">
        <v>73</v>
      </c>
      <c r="G7" s="11" t="n">
        <v>1</v>
      </c>
      <c r="H7" s="29" t="n">
        <v>52</v>
      </c>
      <c r="I7" s="28" t="s">
        <v>74</v>
      </c>
      <c r="J7" s="28" t="s">
        <v>79</v>
      </c>
    </row>
    <row r="8" customFormat="false" ht="23.85" hidden="false" customHeight="false" outlineLevel="0" collapsed="false">
      <c r="A8" s="9" t="n">
        <v>3</v>
      </c>
      <c r="B8" s="23" t="s">
        <v>80</v>
      </c>
      <c r="C8" s="24" t="s">
        <v>81</v>
      </c>
      <c r="D8" s="24" t="s">
        <v>82</v>
      </c>
      <c r="E8" s="24" t="s">
        <v>72</v>
      </c>
      <c r="F8" s="25" t="s">
        <v>73</v>
      </c>
      <c r="G8" s="9" t="n">
        <v>1</v>
      </c>
      <c r="H8" s="26" t="n">
        <v>45</v>
      </c>
      <c r="I8" s="24" t="s">
        <v>83</v>
      </c>
      <c r="J8" s="24" t="s">
        <v>84</v>
      </c>
    </row>
    <row r="9" customFormat="false" ht="15" hidden="false" customHeight="false" outlineLevel="0" collapsed="false">
      <c r="A9" s="30"/>
      <c r="B9" s="13" t="s">
        <v>85</v>
      </c>
      <c r="C9" s="13"/>
      <c r="D9" s="13"/>
      <c r="E9" s="13"/>
      <c r="F9" s="13"/>
      <c r="G9" s="13"/>
      <c r="H9" s="16" t="n">
        <f aca="false">SUMPRODUCT(G6:G8,H6:H8)</f>
        <v>167</v>
      </c>
      <c r="I9" s="30"/>
      <c r="J9" s="30"/>
    </row>
    <row r="11" customFormat="false" ht="21.75" hidden="false" customHeight="true" outlineLevel="0" collapsed="false">
      <c r="A11" s="22" t="s">
        <v>86</v>
      </c>
      <c r="B11" s="22"/>
      <c r="C11" s="22"/>
      <c r="D11" s="22"/>
      <c r="E11" s="22"/>
      <c r="F11" s="22"/>
      <c r="G11" s="22"/>
      <c r="H11" s="22"/>
      <c r="I11" s="22"/>
      <c r="J11" s="22"/>
    </row>
    <row r="12" customFormat="false" ht="15" hidden="false" customHeight="false" outlineLevel="0" collapsed="false">
      <c r="A12" s="8" t="s">
        <v>60</v>
      </c>
      <c r="B12" s="8" t="s">
        <v>61</v>
      </c>
      <c r="C12" s="8" t="s">
        <v>62</v>
      </c>
      <c r="D12" s="8" t="s">
        <v>63</v>
      </c>
      <c r="E12" s="8" t="s">
        <v>24</v>
      </c>
      <c r="F12" s="8" t="s">
        <v>64</v>
      </c>
      <c r="G12" s="8" t="s">
        <v>65</v>
      </c>
      <c r="H12" s="8" t="s">
        <v>66</v>
      </c>
      <c r="I12" s="8" t="s">
        <v>67</v>
      </c>
      <c r="J12" s="8" t="s">
        <v>68</v>
      </c>
    </row>
    <row r="13" customFormat="false" ht="15" hidden="false" customHeight="false" outlineLevel="0" collapsed="false">
      <c r="A13" s="9" t="n">
        <v>4</v>
      </c>
      <c r="B13" s="23" t="s">
        <v>87</v>
      </c>
      <c r="C13" s="24" t="s">
        <v>88</v>
      </c>
      <c r="D13" s="24" t="s">
        <v>89</v>
      </c>
      <c r="E13" s="24" t="s">
        <v>90</v>
      </c>
      <c r="F13" s="25" t="s">
        <v>73</v>
      </c>
      <c r="G13" s="9" t="n">
        <v>1</v>
      </c>
      <c r="H13" s="26" t="n">
        <v>15</v>
      </c>
      <c r="I13" s="24" t="s">
        <v>91</v>
      </c>
      <c r="J13" s="24" t="s">
        <v>92</v>
      </c>
    </row>
    <row r="14" customFormat="false" ht="15" hidden="false" customHeight="false" outlineLevel="0" collapsed="false">
      <c r="A14" s="11" t="n">
        <v>5</v>
      </c>
      <c r="B14" s="27" t="s">
        <v>93</v>
      </c>
      <c r="C14" s="28" t="s">
        <v>94</v>
      </c>
      <c r="D14" s="28" t="s">
        <v>95</v>
      </c>
      <c r="E14" s="28" t="s">
        <v>90</v>
      </c>
      <c r="F14" s="25" t="s">
        <v>73</v>
      </c>
      <c r="G14" s="11" t="n">
        <v>1</v>
      </c>
      <c r="H14" s="29" t="n">
        <v>8</v>
      </c>
      <c r="I14" s="28" t="s">
        <v>96</v>
      </c>
      <c r="J14" s="28" t="s">
        <v>97</v>
      </c>
    </row>
    <row r="15" customFormat="false" ht="15" hidden="false" customHeight="false" outlineLevel="0" collapsed="false">
      <c r="A15" s="9" t="n">
        <v>6</v>
      </c>
      <c r="B15" s="23" t="s">
        <v>98</v>
      </c>
      <c r="C15" s="24" t="s">
        <v>99</v>
      </c>
      <c r="D15" s="24" t="s">
        <v>78</v>
      </c>
      <c r="E15" s="24" t="s">
        <v>90</v>
      </c>
      <c r="F15" s="25" t="s">
        <v>73</v>
      </c>
      <c r="G15" s="9" t="n">
        <v>1</v>
      </c>
      <c r="H15" s="26" t="n">
        <v>30</v>
      </c>
      <c r="I15" s="24" t="s">
        <v>100</v>
      </c>
      <c r="J15" s="24" t="s">
        <v>101</v>
      </c>
    </row>
    <row r="16" customFormat="false" ht="15" hidden="false" customHeight="false" outlineLevel="0" collapsed="false">
      <c r="A16" s="11" t="n">
        <v>7</v>
      </c>
      <c r="B16" s="27" t="s">
        <v>102</v>
      </c>
      <c r="C16" s="28" t="s">
        <v>103</v>
      </c>
      <c r="D16" s="28" t="s">
        <v>104</v>
      </c>
      <c r="E16" s="28" t="s">
        <v>90</v>
      </c>
      <c r="F16" s="25" t="s">
        <v>73</v>
      </c>
      <c r="G16" s="11" t="n">
        <v>4</v>
      </c>
      <c r="H16" s="29" t="n">
        <v>10</v>
      </c>
      <c r="I16" s="28" t="s">
        <v>74</v>
      </c>
      <c r="J16" s="28" t="s">
        <v>105</v>
      </c>
    </row>
    <row r="17" customFormat="false" ht="23.85" hidden="false" customHeight="false" outlineLevel="0" collapsed="false">
      <c r="A17" s="9" t="n">
        <v>8</v>
      </c>
      <c r="B17" s="23" t="s">
        <v>106</v>
      </c>
      <c r="C17" s="24" t="s">
        <v>107</v>
      </c>
      <c r="D17" s="24" t="s">
        <v>108</v>
      </c>
      <c r="E17" s="24" t="s">
        <v>90</v>
      </c>
      <c r="F17" s="25" t="s">
        <v>73</v>
      </c>
      <c r="G17" s="9" t="n">
        <v>1</v>
      </c>
      <c r="H17" s="26" t="n">
        <v>35</v>
      </c>
      <c r="I17" s="24" t="s">
        <v>109</v>
      </c>
      <c r="J17" s="24" t="s">
        <v>110</v>
      </c>
    </row>
    <row r="18" customFormat="false" ht="15" hidden="false" customHeight="false" outlineLevel="0" collapsed="false">
      <c r="A18" s="30"/>
      <c r="B18" s="13" t="s">
        <v>111</v>
      </c>
      <c r="C18" s="13"/>
      <c r="D18" s="13"/>
      <c r="E18" s="13"/>
      <c r="F18" s="13"/>
      <c r="G18" s="13"/>
      <c r="H18" s="16" t="n">
        <f aca="false">SUMPRODUCT(G13:G17,H13:H17)</f>
        <v>128</v>
      </c>
      <c r="I18" s="30"/>
      <c r="J18" s="30"/>
    </row>
    <row r="20" customFormat="false" ht="21.75" hidden="false" customHeight="true" outlineLevel="0" collapsed="false">
      <c r="A20" s="22" t="s">
        <v>112</v>
      </c>
      <c r="B20" s="22"/>
      <c r="C20" s="22"/>
      <c r="D20" s="22"/>
      <c r="E20" s="22"/>
      <c r="F20" s="22"/>
      <c r="G20" s="22"/>
      <c r="H20" s="22"/>
      <c r="I20" s="22"/>
      <c r="J20" s="22"/>
    </row>
    <row r="21" customFormat="false" ht="15" hidden="false" customHeight="false" outlineLevel="0" collapsed="false">
      <c r="A21" s="8" t="s">
        <v>60</v>
      </c>
      <c r="B21" s="8" t="s">
        <v>61</v>
      </c>
      <c r="C21" s="8" t="s">
        <v>62</v>
      </c>
      <c r="D21" s="8" t="s">
        <v>63</v>
      </c>
      <c r="E21" s="8" t="s">
        <v>24</v>
      </c>
      <c r="F21" s="8" t="s">
        <v>64</v>
      </c>
      <c r="G21" s="8" t="s">
        <v>65</v>
      </c>
      <c r="H21" s="8" t="s">
        <v>66</v>
      </c>
      <c r="I21" s="8" t="s">
        <v>67</v>
      </c>
      <c r="J21" s="8" t="s">
        <v>68</v>
      </c>
    </row>
    <row r="22" customFormat="false" ht="23.85" hidden="false" customHeight="false" outlineLevel="0" collapsed="false">
      <c r="A22" s="9" t="n">
        <v>9</v>
      </c>
      <c r="B22" s="23" t="s">
        <v>113</v>
      </c>
      <c r="C22" s="24" t="s">
        <v>114</v>
      </c>
      <c r="D22" s="24" t="s">
        <v>71</v>
      </c>
      <c r="E22" s="24" t="s">
        <v>32</v>
      </c>
      <c r="F22" s="25" t="s">
        <v>73</v>
      </c>
      <c r="G22" s="9" t="n">
        <v>1</v>
      </c>
      <c r="H22" s="26" t="n">
        <v>12</v>
      </c>
      <c r="I22" s="24" t="s">
        <v>115</v>
      </c>
      <c r="J22" s="24" t="s">
        <v>116</v>
      </c>
    </row>
    <row r="23" customFormat="false" ht="15" hidden="false" customHeight="false" outlineLevel="0" collapsed="false">
      <c r="A23" s="11" t="n">
        <v>10</v>
      </c>
      <c r="B23" s="27" t="s">
        <v>117</v>
      </c>
      <c r="C23" s="28" t="s">
        <v>118</v>
      </c>
      <c r="D23" s="28" t="s">
        <v>119</v>
      </c>
      <c r="E23" s="28" t="s">
        <v>32</v>
      </c>
      <c r="F23" s="25" t="s">
        <v>73</v>
      </c>
      <c r="G23" s="11" t="n">
        <v>1</v>
      </c>
      <c r="H23" s="29" t="n">
        <v>18</v>
      </c>
      <c r="I23" s="28" t="s">
        <v>120</v>
      </c>
      <c r="J23" s="28" t="s">
        <v>121</v>
      </c>
    </row>
    <row r="24" customFormat="false" ht="15" hidden="false" customHeight="false" outlineLevel="0" collapsed="false">
      <c r="A24" s="30"/>
      <c r="B24" s="13" t="s">
        <v>122</v>
      </c>
      <c r="C24" s="13"/>
      <c r="D24" s="13"/>
      <c r="E24" s="13"/>
      <c r="F24" s="13"/>
      <c r="G24" s="13"/>
      <c r="H24" s="16" t="n">
        <f aca="false">SUMPRODUCT(G22:G23,H22:H23)</f>
        <v>30</v>
      </c>
      <c r="I24" s="30"/>
      <c r="J24" s="30"/>
    </row>
    <row r="26" customFormat="false" ht="21.75" hidden="false" customHeight="true" outlineLevel="0" collapsed="false">
      <c r="A26" s="22" t="s">
        <v>123</v>
      </c>
      <c r="B26" s="22"/>
      <c r="C26" s="22"/>
      <c r="D26" s="22"/>
      <c r="E26" s="22"/>
      <c r="F26" s="22"/>
      <c r="G26" s="22"/>
      <c r="H26" s="22"/>
      <c r="I26" s="22"/>
      <c r="J26" s="22"/>
    </row>
    <row r="27" customFormat="false" ht="15" hidden="false" customHeight="false" outlineLevel="0" collapsed="false">
      <c r="A27" s="8" t="s">
        <v>60</v>
      </c>
      <c r="B27" s="8" t="s">
        <v>61</v>
      </c>
      <c r="C27" s="8" t="s">
        <v>62</v>
      </c>
      <c r="D27" s="8" t="s">
        <v>63</v>
      </c>
      <c r="E27" s="8" t="s">
        <v>24</v>
      </c>
      <c r="F27" s="8" t="s">
        <v>64</v>
      </c>
      <c r="G27" s="8" t="s">
        <v>65</v>
      </c>
      <c r="H27" s="8" t="s">
        <v>66</v>
      </c>
      <c r="I27" s="8" t="s">
        <v>67</v>
      </c>
      <c r="J27" s="8" t="s">
        <v>68</v>
      </c>
    </row>
    <row r="28" customFormat="false" ht="23.85" hidden="false" customHeight="false" outlineLevel="0" collapsed="false">
      <c r="A28" s="9" t="n">
        <v>11</v>
      </c>
      <c r="B28" s="23" t="s">
        <v>124</v>
      </c>
      <c r="C28" s="24" t="s">
        <v>125</v>
      </c>
      <c r="D28" s="24" t="s">
        <v>126</v>
      </c>
      <c r="E28" s="24" t="s">
        <v>127</v>
      </c>
      <c r="F28" s="25" t="s">
        <v>73</v>
      </c>
      <c r="G28" s="9" t="n">
        <v>1</v>
      </c>
      <c r="H28" s="26" t="n">
        <v>75</v>
      </c>
      <c r="I28" s="24" t="s">
        <v>128</v>
      </c>
      <c r="J28" s="24" t="s">
        <v>129</v>
      </c>
    </row>
    <row r="29" customFormat="false" ht="15" hidden="false" customHeight="false" outlineLevel="0" collapsed="false">
      <c r="A29" s="30"/>
      <c r="B29" s="13" t="s">
        <v>130</v>
      </c>
      <c r="C29" s="13"/>
      <c r="D29" s="13"/>
      <c r="E29" s="13"/>
      <c r="F29" s="13"/>
      <c r="G29" s="13"/>
      <c r="H29" s="16" t="n">
        <f aca="false">SUMPRODUCT(G28:G28,H28:H28)</f>
        <v>75</v>
      </c>
      <c r="I29" s="30"/>
      <c r="J29" s="30"/>
    </row>
    <row r="31" customFormat="false" ht="21.75" hidden="false" customHeight="true" outlineLevel="0" collapsed="false">
      <c r="A31" s="22" t="s">
        <v>131</v>
      </c>
      <c r="B31" s="22"/>
      <c r="C31" s="22"/>
      <c r="D31" s="22"/>
      <c r="E31" s="22"/>
      <c r="F31" s="22"/>
      <c r="G31" s="22"/>
      <c r="H31" s="22"/>
      <c r="I31" s="22"/>
      <c r="J31" s="22"/>
    </row>
    <row r="32" customFormat="false" ht="15" hidden="false" customHeight="false" outlineLevel="0" collapsed="false">
      <c r="A32" s="8" t="s">
        <v>60</v>
      </c>
      <c r="B32" s="8" t="s">
        <v>61</v>
      </c>
      <c r="C32" s="8" t="s">
        <v>62</v>
      </c>
      <c r="D32" s="8" t="s">
        <v>63</v>
      </c>
      <c r="E32" s="8" t="s">
        <v>24</v>
      </c>
      <c r="F32" s="8" t="s">
        <v>64</v>
      </c>
      <c r="G32" s="8" t="s">
        <v>65</v>
      </c>
      <c r="H32" s="8" t="s">
        <v>66</v>
      </c>
      <c r="I32" s="8" t="s">
        <v>67</v>
      </c>
      <c r="J32" s="8" t="s">
        <v>68</v>
      </c>
    </row>
    <row r="33" customFormat="false" ht="23.85" hidden="false" customHeight="false" outlineLevel="0" collapsed="false">
      <c r="A33" s="9" t="n">
        <v>12</v>
      </c>
      <c r="B33" s="23" t="s">
        <v>132</v>
      </c>
      <c r="C33" s="24" t="s">
        <v>133</v>
      </c>
      <c r="D33" s="24" t="s">
        <v>134</v>
      </c>
      <c r="E33" s="24" t="s">
        <v>135</v>
      </c>
      <c r="F33" s="25" t="s">
        <v>73</v>
      </c>
      <c r="G33" s="9" t="n">
        <v>1</v>
      </c>
      <c r="H33" s="26" t="n">
        <v>30</v>
      </c>
      <c r="I33" s="24" t="s">
        <v>136</v>
      </c>
      <c r="J33" s="24" t="s">
        <v>137</v>
      </c>
    </row>
    <row r="34" customFormat="false" ht="23.85" hidden="false" customHeight="false" outlineLevel="0" collapsed="false">
      <c r="A34" s="11" t="n">
        <v>13</v>
      </c>
      <c r="B34" s="27" t="s">
        <v>138</v>
      </c>
      <c r="C34" s="28" t="s">
        <v>139</v>
      </c>
      <c r="D34" s="28" t="s">
        <v>140</v>
      </c>
      <c r="E34" s="28" t="s">
        <v>135</v>
      </c>
      <c r="F34" s="25" t="s">
        <v>73</v>
      </c>
      <c r="G34" s="11" t="n">
        <v>1</v>
      </c>
      <c r="H34" s="29" t="n">
        <v>45</v>
      </c>
      <c r="I34" s="28" t="s">
        <v>141</v>
      </c>
      <c r="J34" s="28" t="s">
        <v>142</v>
      </c>
    </row>
    <row r="35" customFormat="false" ht="15" hidden="false" customHeight="false" outlineLevel="0" collapsed="false">
      <c r="A35" s="9" t="n">
        <v>14</v>
      </c>
      <c r="B35" s="23" t="s">
        <v>143</v>
      </c>
      <c r="C35" s="24" t="s">
        <v>144</v>
      </c>
      <c r="D35" s="24" t="s">
        <v>145</v>
      </c>
      <c r="E35" s="24" t="s">
        <v>135</v>
      </c>
      <c r="F35" s="25" t="s">
        <v>73</v>
      </c>
      <c r="G35" s="9" t="n">
        <v>1</v>
      </c>
      <c r="H35" s="26" t="n">
        <v>30</v>
      </c>
      <c r="I35" s="24" t="s">
        <v>146</v>
      </c>
      <c r="J35" s="24" t="s">
        <v>147</v>
      </c>
    </row>
    <row r="36" customFormat="false" ht="23.85" hidden="false" customHeight="false" outlineLevel="0" collapsed="false">
      <c r="A36" s="11" t="n">
        <v>15</v>
      </c>
      <c r="B36" s="27" t="s">
        <v>148</v>
      </c>
      <c r="C36" s="28" t="s">
        <v>149</v>
      </c>
      <c r="D36" s="28" t="s">
        <v>150</v>
      </c>
      <c r="E36" s="28" t="s">
        <v>135</v>
      </c>
      <c r="F36" s="25" t="s">
        <v>73</v>
      </c>
      <c r="G36" s="11" t="n">
        <v>1</v>
      </c>
      <c r="H36" s="29" t="n">
        <v>30</v>
      </c>
      <c r="I36" s="28" t="s">
        <v>151</v>
      </c>
      <c r="J36" s="28" t="s">
        <v>152</v>
      </c>
    </row>
    <row r="37" customFormat="false" ht="23.85" hidden="false" customHeight="false" outlineLevel="0" collapsed="false">
      <c r="A37" s="9" t="n">
        <v>16</v>
      </c>
      <c r="B37" s="23" t="s">
        <v>153</v>
      </c>
      <c r="C37" s="24" t="s">
        <v>154</v>
      </c>
      <c r="D37" s="24" t="s">
        <v>155</v>
      </c>
      <c r="E37" s="24" t="s">
        <v>135</v>
      </c>
      <c r="F37" s="25" t="s">
        <v>73</v>
      </c>
      <c r="G37" s="9" t="n">
        <v>1</v>
      </c>
      <c r="H37" s="26" t="n">
        <v>35</v>
      </c>
      <c r="I37" s="24" t="s">
        <v>156</v>
      </c>
      <c r="J37" s="24" t="s">
        <v>157</v>
      </c>
    </row>
    <row r="38" customFormat="false" ht="23.85" hidden="false" customHeight="false" outlineLevel="0" collapsed="false">
      <c r="A38" s="11" t="n">
        <v>17</v>
      </c>
      <c r="B38" s="27" t="s">
        <v>158</v>
      </c>
      <c r="C38" s="28" t="s">
        <v>159</v>
      </c>
      <c r="D38" s="28" t="s">
        <v>160</v>
      </c>
      <c r="E38" s="28" t="s">
        <v>135</v>
      </c>
      <c r="F38" s="25" t="s">
        <v>73</v>
      </c>
      <c r="G38" s="11" t="n">
        <v>1</v>
      </c>
      <c r="H38" s="29" t="n">
        <v>40</v>
      </c>
      <c r="I38" s="28" t="s">
        <v>161</v>
      </c>
      <c r="J38" s="28" t="s">
        <v>162</v>
      </c>
    </row>
    <row r="39" customFormat="false" ht="23.85" hidden="false" customHeight="false" outlineLevel="0" collapsed="false">
      <c r="A39" s="9" t="n">
        <v>18</v>
      </c>
      <c r="B39" s="23" t="s">
        <v>163</v>
      </c>
      <c r="C39" s="24" t="s">
        <v>164</v>
      </c>
      <c r="D39" s="24" t="s">
        <v>165</v>
      </c>
      <c r="E39" s="24" t="s">
        <v>135</v>
      </c>
      <c r="F39" s="25" t="s">
        <v>73</v>
      </c>
      <c r="G39" s="9" t="n">
        <v>1</v>
      </c>
      <c r="H39" s="26" t="n">
        <v>180</v>
      </c>
      <c r="I39" s="24" t="s">
        <v>166</v>
      </c>
      <c r="J39" s="24" t="s">
        <v>167</v>
      </c>
    </row>
    <row r="40" customFormat="false" ht="23.85" hidden="false" customHeight="false" outlineLevel="0" collapsed="false">
      <c r="A40" s="11" t="n">
        <v>19</v>
      </c>
      <c r="B40" s="27" t="s">
        <v>168</v>
      </c>
      <c r="C40" s="28" t="s">
        <v>169</v>
      </c>
      <c r="D40" s="28" t="s">
        <v>78</v>
      </c>
      <c r="E40" s="28" t="s">
        <v>135</v>
      </c>
      <c r="F40" s="25" t="s">
        <v>73</v>
      </c>
      <c r="G40" s="11" t="n">
        <v>1</v>
      </c>
      <c r="H40" s="29" t="n">
        <v>55</v>
      </c>
      <c r="I40" s="28" t="s">
        <v>170</v>
      </c>
      <c r="J40" s="28" t="s">
        <v>171</v>
      </c>
    </row>
    <row r="41" customFormat="false" ht="15" hidden="false" customHeight="false" outlineLevel="0" collapsed="false">
      <c r="A41" s="30"/>
      <c r="B41" s="13" t="s">
        <v>172</v>
      </c>
      <c r="C41" s="13"/>
      <c r="D41" s="13"/>
      <c r="E41" s="13"/>
      <c r="F41" s="13"/>
      <c r="G41" s="13"/>
      <c r="H41" s="16" t="n">
        <f aca="false">SUMPRODUCT(G33:G40,H33:H40)</f>
        <v>445</v>
      </c>
      <c r="I41" s="30"/>
      <c r="J41" s="30"/>
    </row>
    <row r="43" customFormat="false" ht="21.75" hidden="false" customHeight="true" outlineLevel="0" collapsed="false">
      <c r="A43" s="22" t="s">
        <v>173</v>
      </c>
      <c r="B43" s="22"/>
      <c r="C43" s="22"/>
      <c r="D43" s="22"/>
      <c r="E43" s="22"/>
      <c r="F43" s="22"/>
      <c r="G43" s="22"/>
      <c r="H43" s="22"/>
      <c r="I43" s="22"/>
      <c r="J43" s="22"/>
    </row>
    <row r="44" customFormat="false" ht="15" hidden="false" customHeight="false" outlineLevel="0" collapsed="false">
      <c r="A44" s="8" t="s">
        <v>60</v>
      </c>
      <c r="B44" s="8" t="s">
        <v>61</v>
      </c>
      <c r="C44" s="8" t="s">
        <v>62</v>
      </c>
      <c r="D44" s="8" t="s">
        <v>63</v>
      </c>
      <c r="E44" s="8" t="s">
        <v>24</v>
      </c>
      <c r="F44" s="8" t="s">
        <v>64</v>
      </c>
      <c r="G44" s="8" t="s">
        <v>65</v>
      </c>
      <c r="H44" s="8" t="s">
        <v>66</v>
      </c>
      <c r="I44" s="8" t="s">
        <v>67</v>
      </c>
      <c r="J44" s="8" t="s">
        <v>68</v>
      </c>
    </row>
    <row r="45" customFormat="false" ht="23.85" hidden="false" customHeight="false" outlineLevel="0" collapsed="false">
      <c r="A45" s="9" t="n">
        <v>20</v>
      </c>
      <c r="B45" s="23" t="s">
        <v>174</v>
      </c>
      <c r="C45" s="24" t="s">
        <v>175</v>
      </c>
      <c r="D45" s="24" t="s">
        <v>176</v>
      </c>
      <c r="E45" s="24" t="s">
        <v>177</v>
      </c>
      <c r="F45" s="25" t="s">
        <v>73</v>
      </c>
      <c r="G45" s="9" t="n">
        <v>1</v>
      </c>
      <c r="H45" s="26" t="n">
        <v>100</v>
      </c>
      <c r="I45" s="24" t="s">
        <v>74</v>
      </c>
      <c r="J45" s="24" t="s">
        <v>178</v>
      </c>
    </row>
    <row r="46" customFormat="false" ht="23.85" hidden="false" customHeight="false" outlineLevel="0" collapsed="false">
      <c r="A46" s="11" t="n">
        <v>21</v>
      </c>
      <c r="B46" s="27" t="s">
        <v>179</v>
      </c>
      <c r="C46" s="28" t="s">
        <v>180</v>
      </c>
      <c r="D46" s="28" t="s">
        <v>181</v>
      </c>
      <c r="E46" s="28" t="s">
        <v>177</v>
      </c>
      <c r="F46" s="25" t="s">
        <v>73</v>
      </c>
      <c r="G46" s="11" t="n">
        <v>1</v>
      </c>
      <c r="H46" s="29" t="n">
        <v>20</v>
      </c>
      <c r="I46" s="28" t="s">
        <v>182</v>
      </c>
      <c r="J46" s="28" t="s">
        <v>183</v>
      </c>
    </row>
    <row r="47" customFormat="false" ht="15" hidden="false" customHeight="false" outlineLevel="0" collapsed="false">
      <c r="A47" s="9" t="n">
        <v>22</v>
      </c>
      <c r="B47" s="23" t="s">
        <v>184</v>
      </c>
      <c r="C47" s="24" t="s">
        <v>185</v>
      </c>
      <c r="D47" s="24" t="s">
        <v>181</v>
      </c>
      <c r="E47" s="24" t="s">
        <v>177</v>
      </c>
      <c r="F47" s="25" t="s">
        <v>73</v>
      </c>
      <c r="G47" s="9" t="n">
        <v>3</v>
      </c>
      <c r="H47" s="26" t="n">
        <v>6</v>
      </c>
      <c r="I47" s="24" t="s">
        <v>186</v>
      </c>
      <c r="J47" s="24" t="s">
        <v>187</v>
      </c>
    </row>
    <row r="48" customFormat="false" ht="15" hidden="false" customHeight="false" outlineLevel="0" collapsed="false">
      <c r="A48" s="11" t="n">
        <v>23</v>
      </c>
      <c r="B48" s="27" t="s">
        <v>188</v>
      </c>
      <c r="C48" s="28" t="s">
        <v>189</v>
      </c>
      <c r="D48" s="28" t="s">
        <v>181</v>
      </c>
      <c r="E48" s="28" t="s">
        <v>177</v>
      </c>
      <c r="F48" s="25" t="s">
        <v>73</v>
      </c>
      <c r="G48" s="11" t="n">
        <v>3</v>
      </c>
      <c r="H48" s="29" t="n">
        <v>5</v>
      </c>
      <c r="I48" s="28" t="s">
        <v>186</v>
      </c>
      <c r="J48" s="28" t="s">
        <v>190</v>
      </c>
    </row>
    <row r="49" customFormat="false" ht="15" hidden="false" customHeight="false" outlineLevel="0" collapsed="false">
      <c r="A49" s="9" t="n">
        <v>24</v>
      </c>
      <c r="B49" s="23" t="s">
        <v>191</v>
      </c>
      <c r="C49" s="24" t="s">
        <v>192</v>
      </c>
      <c r="D49" s="24" t="s">
        <v>78</v>
      </c>
      <c r="E49" s="24" t="s">
        <v>177</v>
      </c>
      <c r="F49" s="25" t="s">
        <v>73</v>
      </c>
      <c r="G49" s="9" t="n">
        <v>2</v>
      </c>
      <c r="H49" s="26" t="n">
        <v>8</v>
      </c>
      <c r="I49" s="24" t="s">
        <v>186</v>
      </c>
      <c r="J49" s="24" t="s">
        <v>193</v>
      </c>
    </row>
    <row r="50" customFormat="false" ht="15" hidden="false" customHeight="false" outlineLevel="0" collapsed="false">
      <c r="A50" s="11" t="n">
        <v>25</v>
      </c>
      <c r="B50" s="27" t="s">
        <v>194</v>
      </c>
      <c r="C50" s="28" t="s">
        <v>195</v>
      </c>
      <c r="D50" s="28" t="s">
        <v>181</v>
      </c>
      <c r="E50" s="28" t="s">
        <v>177</v>
      </c>
      <c r="F50" s="25" t="s">
        <v>73</v>
      </c>
      <c r="G50" s="11" t="n">
        <v>1</v>
      </c>
      <c r="H50" s="29" t="n">
        <v>8</v>
      </c>
      <c r="I50" s="28" t="s">
        <v>186</v>
      </c>
      <c r="J50" s="28" t="s">
        <v>196</v>
      </c>
    </row>
    <row r="51" customFormat="false" ht="15" hidden="false" customHeight="false" outlineLevel="0" collapsed="false">
      <c r="A51" s="30"/>
      <c r="B51" s="13" t="s">
        <v>197</v>
      </c>
      <c r="C51" s="13"/>
      <c r="D51" s="13"/>
      <c r="E51" s="13"/>
      <c r="F51" s="13"/>
      <c r="G51" s="13"/>
      <c r="H51" s="16" t="n">
        <f aca="false">SUMPRODUCT(G45:G50,H45:H50)</f>
        <v>177</v>
      </c>
      <c r="I51" s="30"/>
      <c r="J51" s="30"/>
    </row>
    <row r="53" customFormat="false" ht="21.75" hidden="false" customHeight="true" outlineLevel="0" collapsed="false">
      <c r="A53" s="22" t="s">
        <v>198</v>
      </c>
      <c r="B53" s="22"/>
      <c r="C53" s="22"/>
      <c r="D53" s="22"/>
      <c r="E53" s="22"/>
      <c r="F53" s="22"/>
      <c r="G53" s="22"/>
      <c r="H53" s="22"/>
      <c r="I53" s="22"/>
      <c r="J53" s="22"/>
    </row>
    <row r="54" customFormat="false" ht="15" hidden="false" customHeight="false" outlineLevel="0" collapsed="false">
      <c r="A54" s="8" t="s">
        <v>60</v>
      </c>
      <c r="B54" s="8" t="s">
        <v>61</v>
      </c>
      <c r="C54" s="8" t="s">
        <v>62</v>
      </c>
      <c r="D54" s="8" t="s">
        <v>63</v>
      </c>
      <c r="E54" s="8" t="s">
        <v>24</v>
      </c>
      <c r="F54" s="8" t="s">
        <v>64</v>
      </c>
      <c r="G54" s="8" t="s">
        <v>65</v>
      </c>
      <c r="H54" s="8" t="s">
        <v>66</v>
      </c>
      <c r="I54" s="8" t="s">
        <v>67</v>
      </c>
      <c r="J54" s="8" t="s">
        <v>68</v>
      </c>
    </row>
    <row r="55" customFormat="false" ht="15" hidden="false" customHeight="false" outlineLevel="0" collapsed="false">
      <c r="A55" s="9" t="n">
        <v>26</v>
      </c>
      <c r="B55" s="23" t="s">
        <v>199</v>
      </c>
      <c r="C55" s="24" t="s">
        <v>200</v>
      </c>
      <c r="D55" s="24" t="s">
        <v>201</v>
      </c>
      <c r="E55" s="24" t="s">
        <v>202</v>
      </c>
      <c r="F55" s="31" t="s">
        <v>202</v>
      </c>
      <c r="G55" s="9" t="n">
        <v>1</v>
      </c>
      <c r="H55" s="26" t="n">
        <v>150</v>
      </c>
      <c r="I55" s="24" t="s">
        <v>203</v>
      </c>
      <c r="J55" s="24" t="s">
        <v>204</v>
      </c>
    </row>
    <row r="56" customFormat="false" ht="23.85" hidden="false" customHeight="false" outlineLevel="0" collapsed="false">
      <c r="A56" s="11" t="n">
        <v>27</v>
      </c>
      <c r="B56" s="27" t="s">
        <v>205</v>
      </c>
      <c r="C56" s="28" t="s">
        <v>206</v>
      </c>
      <c r="D56" s="28" t="s">
        <v>207</v>
      </c>
      <c r="E56" s="28" t="s">
        <v>202</v>
      </c>
      <c r="F56" s="31" t="s">
        <v>202</v>
      </c>
      <c r="G56" s="11" t="n">
        <v>1</v>
      </c>
      <c r="H56" s="29" t="n">
        <v>200</v>
      </c>
      <c r="I56" s="28" t="s">
        <v>203</v>
      </c>
      <c r="J56" s="28" t="s">
        <v>208</v>
      </c>
    </row>
    <row r="57" customFormat="false" ht="15" hidden="false" customHeight="false" outlineLevel="0" collapsed="false">
      <c r="A57" s="30"/>
      <c r="B57" s="13" t="s">
        <v>209</v>
      </c>
      <c r="C57" s="13"/>
      <c r="D57" s="13"/>
      <c r="E57" s="13"/>
      <c r="F57" s="13"/>
      <c r="G57" s="13"/>
      <c r="H57" s="16" t="n">
        <f aca="false">SUMPRODUCT(G55:G56,H55:H56)</f>
        <v>350</v>
      </c>
      <c r="I57" s="30"/>
      <c r="J57" s="30"/>
    </row>
    <row r="60" customFormat="false" ht="15" hidden="false" customHeight="false" outlineLevel="0" collapsed="false">
      <c r="A60" s="30"/>
      <c r="B60" s="13" t="s">
        <v>210</v>
      </c>
      <c r="C60" s="13"/>
      <c r="D60" s="13"/>
      <c r="E60" s="13"/>
      <c r="F60" s="13"/>
      <c r="G60" s="13"/>
      <c r="H60" s="16" t="n">
        <f aca="false">SUMPRODUCT((F5:F58="Core")*IFERROR(G5:G58*H5:H58,0))</f>
        <v>1022</v>
      </c>
      <c r="I60" s="32"/>
      <c r="J60" s="32"/>
    </row>
    <row r="61" customFormat="false" ht="15" hidden="false" customHeight="false" outlineLevel="0" collapsed="false">
      <c r="A61" s="30"/>
      <c r="B61" s="13" t="s">
        <v>211</v>
      </c>
      <c r="C61" s="13"/>
      <c r="D61" s="13"/>
      <c r="E61" s="13"/>
      <c r="F61" s="13"/>
      <c r="G61" s="13"/>
      <c r="H61" s="16" t="n">
        <f aca="false">SUMPRODUCT(IFERROR(G5:G59*H5:H59,0))</f>
        <v>1372</v>
      </c>
      <c r="I61" s="32"/>
      <c r="J61" s="32"/>
    </row>
  </sheetData>
  <mergeCells count="19">
    <mergeCell ref="A1:J1"/>
    <mergeCell ref="A2:J2"/>
    <mergeCell ref="B2:J2"/>
    <mergeCell ref="A4:J4"/>
    <mergeCell ref="B9:G9"/>
    <mergeCell ref="A11:J11"/>
    <mergeCell ref="B18:G18"/>
    <mergeCell ref="A20:J20"/>
    <mergeCell ref="B24:G24"/>
    <mergeCell ref="A26:J26"/>
    <mergeCell ref="B29:G29"/>
    <mergeCell ref="A31:J31"/>
    <mergeCell ref="B41:G41"/>
    <mergeCell ref="A43:J43"/>
    <mergeCell ref="B51:G51"/>
    <mergeCell ref="A53:J53"/>
    <mergeCell ref="B57:G57"/>
    <mergeCell ref="B60:G60"/>
    <mergeCell ref="B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50"/>
  </cols>
  <sheetData>
    <row r="1" customFormat="false" ht="31.5" hidden="false" customHeight="true" outlineLevel="0" collapsed="false">
      <c r="A1" s="1" t="s">
        <v>212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213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22" t="s">
        <v>214</v>
      </c>
      <c r="B4" s="22"/>
      <c r="C4" s="22"/>
      <c r="D4" s="22"/>
      <c r="E4" s="22"/>
      <c r="F4" s="22"/>
      <c r="G4" s="22"/>
    </row>
    <row r="5" customFormat="false" ht="15" hidden="false" customHeight="false" outlineLevel="0" collapsed="false">
      <c r="A5" s="8" t="s">
        <v>60</v>
      </c>
      <c r="B5" s="8" t="s">
        <v>215</v>
      </c>
      <c r="C5" s="8" t="s">
        <v>216</v>
      </c>
      <c r="D5" s="8" t="s">
        <v>217</v>
      </c>
      <c r="E5" s="8" t="s">
        <v>218</v>
      </c>
      <c r="F5" s="8" t="s">
        <v>219</v>
      </c>
      <c r="G5" s="8" t="s">
        <v>220</v>
      </c>
    </row>
    <row r="6" customFormat="false" ht="23.85" hidden="false" customHeight="false" outlineLevel="0" collapsed="false">
      <c r="A6" s="9" t="n">
        <v>1</v>
      </c>
      <c r="B6" s="23" t="s">
        <v>221</v>
      </c>
      <c r="C6" s="24" t="s">
        <v>222</v>
      </c>
      <c r="D6" s="24" t="s">
        <v>223</v>
      </c>
      <c r="E6" s="24" t="s">
        <v>224</v>
      </c>
      <c r="F6" s="9" t="s">
        <v>225</v>
      </c>
      <c r="G6" s="24" t="s">
        <v>226</v>
      </c>
    </row>
    <row r="7" customFormat="false" ht="23.85" hidden="false" customHeight="false" outlineLevel="0" collapsed="false">
      <c r="A7" s="11" t="n">
        <v>2</v>
      </c>
      <c r="B7" s="27" t="s">
        <v>227</v>
      </c>
      <c r="C7" s="28" t="s">
        <v>228</v>
      </c>
      <c r="D7" s="28" t="s">
        <v>223</v>
      </c>
      <c r="E7" s="28" t="s">
        <v>224</v>
      </c>
      <c r="F7" s="11" t="s">
        <v>225</v>
      </c>
      <c r="G7" s="28" t="s">
        <v>229</v>
      </c>
    </row>
    <row r="8" customFormat="false" ht="23.85" hidden="false" customHeight="false" outlineLevel="0" collapsed="false">
      <c r="A8" s="9" t="n">
        <v>3</v>
      </c>
      <c r="B8" s="23" t="s">
        <v>230</v>
      </c>
      <c r="C8" s="24" t="s">
        <v>231</v>
      </c>
      <c r="D8" s="24" t="s">
        <v>223</v>
      </c>
      <c r="E8" s="24" t="s">
        <v>224</v>
      </c>
      <c r="F8" s="9" t="s">
        <v>225</v>
      </c>
      <c r="G8" s="24" t="s">
        <v>232</v>
      </c>
    </row>
    <row r="10" customFormat="false" ht="21.75" hidden="false" customHeight="true" outlineLevel="0" collapsed="false">
      <c r="A10" s="22" t="s">
        <v>233</v>
      </c>
      <c r="B10" s="22"/>
      <c r="C10" s="22"/>
      <c r="D10" s="22"/>
      <c r="E10" s="22"/>
      <c r="F10" s="22"/>
      <c r="G10" s="22"/>
    </row>
    <row r="11" customFormat="false" ht="15" hidden="false" customHeight="false" outlineLevel="0" collapsed="false">
      <c r="A11" s="8" t="s">
        <v>60</v>
      </c>
      <c r="B11" s="8" t="s">
        <v>215</v>
      </c>
      <c r="C11" s="8" t="s">
        <v>216</v>
      </c>
      <c r="D11" s="8" t="s">
        <v>217</v>
      </c>
      <c r="E11" s="8" t="s">
        <v>218</v>
      </c>
      <c r="F11" s="8" t="s">
        <v>219</v>
      </c>
      <c r="G11" s="8" t="s">
        <v>220</v>
      </c>
    </row>
    <row r="12" customFormat="false" ht="23.85" hidden="false" customHeight="false" outlineLevel="0" collapsed="false">
      <c r="A12" s="9" t="n">
        <v>4</v>
      </c>
      <c r="B12" s="23" t="s">
        <v>234</v>
      </c>
      <c r="C12" s="24" t="s">
        <v>235</v>
      </c>
      <c r="D12" s="24" t="s">
        <v>223</v>
      </c>
      <c r="E12" s="24" t="s">
        <v>236</v>
      </c>
      <c r="F12" s="9" t="s">
        <v>225</v>
      </c>
      <c r="G12" s="24" t="s">
        <v>237</v>
      </c>
    </row>
    <row r="13" customFormat="false" ht="23.85" hidden="false" customHeight="false" outlineLevel="0" collapsed="false">
      <c r="A13" s="11" t="n">
        <v>5</v>
      </c>
      <c r="B13" s="27" t="s">
        <v>238</v>
      </c>
      <c r="C13" s="28" t="s">
        <v>239</v>
      </c>
      <c r="D13" s="28" t="s">
        <v>223</v>
      </c>
      <c r="E13" s="28" t="s">
        <v>236</v>
      </c>
      <c r="F13" s="11" t="s">
        <v>225</v>
      </c>
      <c r="G13" s="28" t="s">
        <v>240</v>
      </c>
    </row>
    <row r="14" customFormat="false" ht="23.85" hidden="false" customHeight="false" outlineLevel="0" collapsed="false">
      <c r="A14" s="9" t="n">
        <v>6</v>
      </c>
      <c r="B14" s="23" t="s">
        <v>241</v>
      </c>
      <c r="C14" s="24" t="s">
        <v>242</v>
      </c>
      <c r="D14" s="24" t="s">
        <v>223</v>
      </c>
      <c r="E14" s="24" t="s">
        <v>236</v>
      </c>
      <c r="F14" s="9" t="s">
        <v>225</v>
      </c>
      <c r="G14" s="24" t="s">
        <v>243</v>
      </c>
    </row>
    <row r="15" customFormat="false" ht="15" hidden="false" customHeight="false" outlineLevel="0" collapsed="false">
      <c r="A15" s="11" t="n">
        <v>7</v>
      </c>
      <c r="B15" s="27" t="s">
        <v>244</v>
      </c>
      <c r="C15" s="28" t="s">
        <v>245</v>
      </c>
      <c r="D15" s="28" t="s">
        <v>246</v>
      </c>
      <c r="E15" s="28" t="s">
        <v>236</v>
      </c>
      <c r="F15" s="11" t="s">
        <v>225</v>
      </c>
      <c r="G15" s="28" t="s">
        <v>247</v>
      </c>
    </row>
    <row r="16" customFormat="false" ht="23.85" hidden="false" customHeight="false" outlineLevel="0" collapsed="false">
      <c r="A16" s="9" t="n">
        <v>8</v>
      </c>
      <c r="B16" s="23" t="s">
        <v>248</v>
      </c>
      <c r="C16" s="24" t="s">
        <v>249</v>
      </c>
      <c r="D16" s="24" t="s">
        <v>223</v>
      </c>
      <c r="E16" s="24" t="s">
        <v>236</v>
      </c>
      <c r="F16" s="9" t="s">
        <v>225</v>
      </c>
      <c r="G16" s="24" t="s">
        <v>250</v>
      </c>
    </row>
    <row r="18" customFormat="false" ht="21.75" hidden="false" customHeight="true" outlineLevel="0" collapsed="false">
      <c r="A18" s="22" t="s">
        <v>251</v>
      </c>
      <c r="B18" s="22"/>
      <c r="C18" s="22"/>
      <c r="D18" s="22"/>
      <c r="E18" s="22"/>
      <c r="F18" s="22"/>
      <c r="G18" s="22"/>
    </row>
    <row r="19" customFormat="false" ht="15" hidden="false" customHeight="false" outlineLevel="0" collapsed="false">
      <c r="A19" s="8" t="s">
        <v>60</v>
      </c>
      <c r="B19" s="8" t="s">
        <v>215</v>
      </c>
      <c r="C19" s="8" t="s">
        <v>216</v>
      </c>
      <c r="D19" s="8" t="s">
        <v>217</v>
      </c>
      <c r="E19" s="8" t="s">
        <v>218</v>
      </c>
      <c r="F19" s="8" t="s">
        <v>219</v>
      </c>
      <c r="G19" s="8" t="s">
        <v>220</v>
      </c>
    </row>
    <row r="20" customFormat="false" ht="23.85" hidden="false" customHeight="false" outlineLevel="0" collapsed="false">
      <c r="A20" s="9" t="n">
        <v>9</v>
      </c>
      <c r="B20" s="23" t="s">
        <v>252</v>
      </c>
      <c r="C20" s="24" t="s">
        <v>253</v>
      </c>
      <c r="D20" s="24" t="s">
        <v>223</v>
      </c>
      <c r="E20" s="24" t="s">
        <v>254</v>
      </c>
      <c r="F20" s="9" t="s">
        <v>225</v>
      </c>
      <c r="G20" s="24" t="s">
        <v>255</v>
      </c>
    </row>
    <row r="21" customFormat="false" ht="23.85" hidden="false" customHeight="false" outlineLevel="0" collapsed="false">
      <c r="A21" s="11" t="n">
        <v>10</v>
      </c>
      <c r="B21" s="27" t="s">
        <v>256</v>
      </c>
      <c r="C21" s="28" t="s">
        <v>257</v>
      </c>
      <c r="D21" s="28" t="s">
        <v>223</v>
      </c>
      <c r="E21" s="28" t="s">
        <v>254</v>
      </c>
      <c r="F21" s="11" t="s">
        <v>225</v>
      </c>
      <c r="G21" s="28" t="s">
        <v>258</v>
      </c>
    </row>
    <row r="22" customFormat="false" ht="23.85" hidden="false" customHeight="false" outlineLevel="0" collapsed="false">
      <c r="A22" s="9" t="n">
        <v>11</v>
      </c>
      <c r="B22" s="23" t="s">
        <v>259</v>
      </c>
      <c r="C22" s="24" t="s">
        <v>260</v>
      </c>
      <c r="D22" s="24" t="s">
        <v>223</v>
      </c>
      <c r="E22" s="24" t="s">
        <v>254</v>
      </c>
      <c r="F22" s="9" t="s">
        <v>225</v>
      </c>
      <c r="G22" s="24" t="s">
        <v>261</v>
      </c>
    </row>
    <row r="23" customFormat="false" ht="23.85" hidden="false" customHeight="false" outlineLevel="0" collapsed="false">
      <c r="A23" s="11" t="n">
        <v>12</v>
      </c>
      <c r="B23" s="27" t="s">
        <v>262</v>
      </c>
      <c r="C23" s="28" t="s">
        <v>263</v>
      </c>
      <c r="D23" s="28" t="s">
        <v>264</v>
      </c>
      <c r="E23" s="28" t="s">
        <v>265</v>
      </c>
      <c r="F23" s="11" t="s">
        <v>266</v>
      </c>
      <c r="G23" s="28" t="s">
        <v>267</v>
      </c>
    </row>
    <row r="25" customFormat="false" ht="21.75" hidden="false" customHeight="true" outlineLevel="0" collapsed="false">
      <c r="A25" s="22" t="s">
        <v>268</v>
      </c>
      <c r="B25" s="22"/>
      <c r="C25" s="22"/>
      <c r="D25" s="22"/>
      <c r="E25" s="22"/>
      <c r="F25" s="22"/>
      <c r="G25" s="22"/>
    </row>
    <row r="26" customFormat="false" ht="15" hidden="false" customHeight="false" outlineLevel="0" collapsed="false">
      <c r="A26" s="8" t="s">
        <v>60</v>
      </c>
      <c r="B26" s="8" t="s">
        <v>215</v>
      </c>
      <c r="C26" s="8" t="s">
        <v>216</v>
      </c>
      <c r="D26" s="8" t="s">
        <v>217</v>
      </c>
      <c r="E26" s="8" t="s">
        <v>218</v>
      </c>
      <c r="F26" s="8" t="s">
        <v>219</v>
      </c>
      <c r="G26" s="8" t="s">
        <v>220</v>
      </c>
    </row>
    <row r="27" customFormat="false" ht="23.85" hidden="false" customHeight="false" outlineLevel="0" collapsed="false">
      <c r="A27" s="9" t="n">
        <v>13</v>
      </c>
      <c r="B27" s="23" t="s">
        <v>269</v>
      </c>
      <c r="C27" s="24" t="s">
        <v>270</v>
      </c>
      <c r="D27" s="24" t="s">
        <v>223</v>
      </c>
      <c r="E27" s="24" t="s">
        <v>271</v>
      </c>
      <c r="F27" s="9" t="s">
        <v>225</v>
      </c>
      <c r="G27" s="24" t="s">
        <v>272</v>
      </c>
    </row>
    <row r="28" customFormat="false" ht="23.85" hidden="false" customHeight="false" outlineLevel="0" collapsed="false">
      <c r="A28" s="11" t="n">
        <v>14</v>
      </c>
      <c r="B28" s="27" t="s">
        <v>273</v>
      </c>
      <c r="C28" s="28" t="s">
        <v>274</v>
      </c>
      <c r="D28" s="28" t="s">
        <v>223</v>
      </c>
      <c r="E28" s="28" t="s">
        <v>271</v>
      </c>
      <c r="F28" s="11" t="s">
        <v>225</v>
      </c>
      <c r="G28" s="28" t="s">
        <v>275</v>
      </c>
    </row>
    <row r="29" customFormat="false" ht="23.85" hidden="false" customHeight="false" outlineLevel="0" collapsed="false">
      <c r="A29" s="9" t="n">
        <v>15</v>
      </c>
      <c r="B29" s="23" t="s">
        <v>276</v>
      </c>
      <c r="C29" s="24" t="s">
        <v>277</v>
      </c>
      <c r="D29" s="24" t="s">
        <v>223</v>
      </c>
      <c r="E29" s="24" t="s">
        <v>271</v>
      </c>
      <c r="F29" s="9" t="s">
        <v>225</v>
      </c>
      <c r="G29" s="24" t="s">
        <v>278</v>
      </c>
    </row>
    <row r="30" customFormat="false" ht="23.85" hidden="false" customHeight="false" outlineLevel="0" collapsed="false">
      <c r="A30" s="11" t="n">
        <v>16</v>
      </c>
      <c r="B30" s="27" t="s">
        <v>279</v>
      </c>
      <c r="C30" s="28" t="s">
        <v>280</v>
      </c>
      <c r="D30" s="28" t="s">
        <v>223</v>
      </c>
      <c r="E30" s="28" t="s">
        <v>271</v>
      </c>
      <c r="F30" s="11" t="s">
        <v>225</v>
      </c>
      <c r="G30" s="28" t="s">
        <v>281</v>
      </c>
    </row>
    <row r="31" customFormat="false" ht="23.85" hidden="false" customHeight="false" outlineLevel="0" collapsed="false">
      <c r="A31" s="9" t="n">
        <v>17</v>
      </c>
      <c r="B31" s="23" t="s">
        <v>282</v>
      </c>
      <c r="C31" s="24" t="s">
        <v>283</v>
      </c>
      <c r="D31" s="24" t="s">
        <v>223</v>
      </c>
      <c r="E31" s="24" t="s">
        <v>271</v>
      </c>
      <c r="F31" s="9" t="s">
        <v>225</v>
      </c>
      <c r="G31" s="24" t="s">
        <v>284</v>
      </c>
    </row>
    <row r="32" customFormat="false" ht="23.85" hidden="false" customHeight="false" outlineLevel="0" collapsed="false">
      <c r="A32" s="11" t="n">
        <v>18</v>
      </c>
      <c r="B32" s="27" t="s">
        <v>285</v>
      </c>
      <c r="C32" s="28" t="s">
        <v>286</v>
      </c>
      <c r="D32" s="28" t="s">
        <v>223</v>
      </c>
      <c r="E32" s="28" t="s">
        <v>271</v>
      </c>
      <c r="F32" s="11" t="s">
        <v>225</v>
      </c>
      <c r="G32" s="28" t="s">
        <v>287</v>
      </c>
    </row>
    <row r="33" customFormat="false" ht="15" hidden="false" customHeight="false" outlineLevel="0" collapsed="false">
      <c r="A33" s="9" t="n">
        <v>19</v>
      </c>
      <c r="B33" s="23" t="s">
        <v>288</v>
      </c>
      <c r="C33" s="24" t="s">
        <v>289</v>
      </c>
      <c r="D33" s="24" t="s">
        <v>290</v>
      </c>
      <c r="E33" s="24" t="s">
        <v>271</v>
      </c>
      <c r="F33" s="9" t="s">
        <v>225</v>
      </c>
      <c r="G33" s="24" t="s">
        <v>291</v>
      </c>
    </row>
    <row r="34" customFormat="false" ht="23.85" hidden="false" customHeight="false" outlineLevel="0" collapsed="false">
      <c r="A34" s="11" t="n">
        <v>20</v>
      </c>
      <c r="B34" s="27" t="s">
        <v>292</v>
      </c>
      <c r="C34" s="28" t="s">
        <v>293</v>
      </c>
      <c r="D34" s="28" t="s">
        <v>223</v>
      </c>
      <c r="E34" s="28" t="s">
        <v>271</v>
      </c>
      <c r="F34" s="11" t="s">
        <v>225</v>
      </c>
      <c r="G34" s="28" t="s">
        <v>294</v>
      </c>
    </row>
    <row r="36" customFormat="false" ht="21.75" hidden="false" customHeight="true" outlineLevel="0" collapsed="false">
      <c r="A36" s="22" t="s">
        <v>295</v>
      </c>
      <c r="B36" s="22"/>
      <c r="C36" s="22"/>
      <c r="D36" s="22"/>
      <c r="E36" s="22"/>
      <c r="F36" s="22"/>
      <c r="G36" s="22"/>
    </row>
    <row r="37" customFormat="false" ht="15" hidden="false" customHeight="false" outlineLevel="0" collapsed="false">
      <c r="A37" s="8" t="s">
        <v>60</v>
      </c>
      <c r="B37" s="8" t="s">
        <v>215</v>
      </c>
      <c r="C37" s="8" t="s">
        <v>216</v>
      </c>
      <c r="D37" s="8" t="s">
        <v>217</v>
      </c>
      <c r="E37" s="8" t="s">
        <v>218</v>
      </c>
      <c r="F37" s="8" t="s">
        <v>219</v>
      </c>
      <c r="G37" s="8" t="s">
        <v>220</v>
      </c>
    </row>
    <row r="38" customFormat="false" ht="23.85" hidden="false" customHeight="false" outlineLevel="0" collapsed="false">
      <c r="A38" s="9" t="n">
        <v>21</v>
      </c>
      <c r="B38" s="23" t="s">
        <v>296</v>
      </c>
      <c r="C38" s="24" t="s">
        <v>297</v>
      </c>
      <c r="D38" s="24" t="s">
        <v>223</v>
      </c>
      <c r="E38" s="24" t="s">
        <v>298</v>
      </c>
      <c r="F38" s="9" t="s">
        <v>225</v>
      </c>
      <c r="G38" s="24" t="s">
        <v>299</v>
      </c>
    </row>
    <row r="39" customFormat="false" ht="23.85" hidden="false" customHeight="false" outlineLevel="0" collapsed="false">
      <c r="A39" s="11" t="n">
        <v>22</v>
      </c>
      <c r="B39" s="27" t="s">
        <v>300</v>
      </c>
      <c r="C39" s="28" t="s">
        <v>301</v>
      </c>
      <c r="D39" s="28" t="s">
        <v>223</v>
      </c>
      <c r="E39" s="28" t="s">
        <v>298</v>
      </c>
      <c r="F39" s="11" t="s">
        <v>225</v>
      </c>
      <c r="G39" s="28" t="s">
        <v>302</v>
      </c>
    </row>
    <row r="41" customFormat="false" ht="21.75" hidden="false" customHeight="true" outlineLevel="0" collapsed="false">
      <c r="A41" s="22" t="s">
        <v>303</v>
      </c>
      <c r="B41" s="22"/>
      <c r="C41" s="22"/>
      <c r="D41" s="22"/>
      <c r="E41" s="22"/>
      <c r="F41" s="22"/>
      <c r="G41" s="22"/>
    </row>
    <row r="42" customFormat="false" ht="15" hidden="false" customHeight="false" outlineLevel="0" collapsed="false">
      <c r="A42" s="8" t="s">
        <v>60</v>
      </c>
      <c r="B42" s="8" t="s">
        <v>215</v>
      </c>
      <c r="C42" s="8" t="s">
        <v>216</v>
      </c>
      <c r="D42" s="8" t="s">
        <v>217</v>
      </c>
      <c r="E42" s="8" t="s">
        <v>218</v>
      </c>
      <c r="F42" s="8" t="s">
        <v>219</v>
      </c>
      <c r="G42" s="8" t="s">
        <v>220</v>
      </c>
    </row>
    <row r="43" customFormat="false" ht="23.85" hidden="false" customHeight="false" outlineLevel="0" collapsed="false">
      <c r="A43" s="9" t="n">
        <v>23</v>
      </c>
      <c r="B43" s="23" t="s">
        <v>304</v>
      </c>
      <c r="C43" s="24" t="s">
        <v>305</v>
      </c>
      <c r="D43" s="24" t="s">
        <v>223</v>
      </c>
      <c r="E43" s="24" t="s">
        <v>306</v>
      </c>
      <c r="F43" s="9" t="s">
        <v>225</v>
      </c>
      <c r="G43" s="24" t="s">
        <v>307</v>
      </c>
    </row>
    <row r="44" customFormat="false" ht="23.85" hidden="false" customHeight="false" outlineLevel="0" collapsed="false">
      <c r="A44" s="11" t="n">
        <v>24</v>
      </c>
      <c r="B44" s="27" t="s">
        <v>308</v>
      </c>
      <c r="C44" s="28" t="s">
        <v>309</v>
      </c>
      <c r="D44" s="28" t="s">
        <v>223</v>
      </c>
      <c r="E44" s="28" t="s">
        <v>306</v>
      </c>
      <c r="F44" s="11" t="s">
        <v>225</v>
      </c>
      <c r="G44" s="28" t="s">
        <v>310</v>
      </c>
    </row>
    <row r="46" customFormat="false" ht="21.75" hidden="false" customHeight="true" outlineLevel="0" collapsed="false">
      <c r="A46" s="22" t="s">
        <v>311</v>
      </c>
      <c r="B46" s="22"/>
      <c r="C46" s="22"/>
      <c r="D46" s="22"/>
      <c r="E46" s="22"/>
      <c r="F46" s="22"/>
      <c r="G46" s="22"/>
    </row>
    <row r="47" customFormat="false" ht="15" hidden="false" customHeight="false" outlineLevel="0" collapsed="false">
      <c r="A47" s="8" t="s">
        <v>60</v>
      </c>
      <c r="B47" s="8" t="s">
        <v>215</v>
      </c>
      <c r="C47" s="8" t="s">
        <v>216</v>
      </c>
      <c r="D47" s="8" t="s">
        <v>217</v>
      </c>
      <c r="E47" s="8" t="s">
        <v>218</v>
      </c>
      <c r="F47" s="8" t="s">
        <v>219</v>
      </c>
      <c r="G47" s="8" t="s">
        <v>220</v>
      </c>
    </row>
    <row r="48" customFormat="false" ht="23.85" hidden="false" customHeight="false" outlineLevel="0" collapsed="false">
      <c r="A48" s="9" t="n">
        <v>25</v>
      </c>
      <c r="B48" s="23" t="s">
        <v>312</v>
      </c>
      <c r="C48" s="24" t="s">
        <v>313</v>
      </c>
      <c r="D48" s="24" t="s">
        <v>223</v>
      </c>
      <c r="E48" s="24" t="s">
        <v>314</v>
      </c>
      <c r="F48" s="9" t="s">
        <v>225</v>
      </c>
      <c r="G48" s="24" t="s">
        <v>315</v>
      </c>
    </row>
    <row r="49" customFormat="false" ht="23.85" hidden="false" customHeight="false" outlineLevel="0" collapsed="false">
      <c r="A49" s="11" t="n">
        <v>26</v>
      </c>
      <c r="B49" s="27" t="s">
        <v>316</v>
      </c>
      <c r="C49" s="28" t="s">
        <v>317</v>
      </c>
      <c r="D49" s="28" t="s">
        <v>223</v>
      </c>
      <c r="E49" s="28" t="s">
        <v>314</v>
      </c>
      <c r="F49" s="11" t="s">
        <v>225</v>
      </c>
      <c r="G49" s="28" t="s">
        <v>318</v>
      </c>
    </row>
    <row r="50" customFormat="false" ht="23.85" hidden="false" customHeight="false" outlineLevel="0" collapsed="false">
      <c r="A50" s="9" t="n">
        <v>27</v>
      </c>
      <c r="B50" s="23" t="s">
        <v>319</v>
      </c>
      <c r="C50" s="24" t="s">
        <v>320</v>
      </c>
      <c r="D50" s="24" t="s">
        <v>223</v>
      </c>
      <c r="E50" s="24" t="s">
        <v>314</v>
      </c>
      <c r="F50" s="9" t="s">
        <v>225</v>
      </c>
      <c r="G50" s="24" t="s">
        <v>321</v>
      </c>
    </row>
    <row r="51" customFormat="false" ht="23.85" hidden="false" customHeight="false" outlineLevel="0" collapsed="false">
      <c r="A51" s="11" t="n">
        <v>28</v>
      </c>
      <c r="B51" s="27" t="s">
        <v>322</v>
      </c>
      <c r="C51" s="28" t="s">
        <v>323</v>
      </c>
      <c r="D51" s="28" t="s">
        <v>223</v>
      </c>
      <c r="E51" s="28" t="s">
        <v>314</v>
      </c>
      <c r="F51" s="11" t="s">
        <v>225</v>
      </c>
      <c r="G51" s="28" t="s">
        <v>324</v>
      </c>
    </row>
    <row r="53" customFormat="false" ht="21.75" hidden="false" customHeight="true" outlineLevel="0" collapsed="false">
      <c r="A53" s="22" t="s">
        <v>325</v>
      </c>
      <c r="B53" s="22"/>
      <c r="C53" s="22"/>
      <c r="D53" s="22"/>
      <c r="E53" s="22"/>
      <c r="F53" s="22"/>
      <c r="G53" s="22"/>
    </row>
    <row r="54" customFormat="false" ht="15" hidden="false" customHeight="false" outlineLevel="0" collapsed="false">
      <c r="A54" s="8" t="s">
        <v>60</v>
      </c>
      <c r="B54" s="8" t="s">
        <v>215</v>
      </c>
      <c r="C54" s="8" t="s">
        <v>216</v>
      </c>
      <c r="D54" s="8" t="s">
        <v>217</v>
      </c>
      <c r="E54" s="8" t="s">
        <v>218</v>
      </c>
      <c r="F54" s="8" t="s">
        <v>219</v>
      </c>
      <c r="G54" s="8" t="s">
        <v>220</v>
      </c>
    </row>
    <row r="55" customFormat="false" ht="23.85" hidden="false" customHeight="false" outlineLevel="0" collapsed="false">
      <c r="A55" s="9" t="n">
        <v>29</v>
      </c>
      <c r="B55" s="23" t="s">
        <v>326</v>
      </c>
      <c r="C55" s="24" t="s">
        <v>327</v>
      </c>
      <c r="D55" s="24" t="s">
        <v>223</v>
      </c>
      <c r="E55" s="24" t="s">
        <v>328</v>
      </c>
      <c r="F55" s="9" t="s">
        <v>225</v>
      </c>
      <c r="G55" s="24" t="s">
        <v>329</v>
      </c>
    </row>
    <row r="56" customFormat="false" ht="23.85" hidden="false" customHeight="false" outlineLevel="0" collapsed="false">
      <c r="A56" s="11" t="n">
        <v>30</v>
      </c>
      <c r="B56" s="27" t="s">
        <v>330</v>
      </c>
      <c r="C56" s="28" t="s">
        <v>331</v>
      </c>
      <c r="D56" s="28" t="s">
        <v>332</v>
      </c>
      <c r="E56" s="28" t="s">
        <v>328</v>
      </c>
      <c r="F56" s="11" t="s">
        <v>225</v>
      </c>
      <c r="G56" s="28" t="s">
        <v>333</v>
      </c>
    </row>
    <row r="57" customFormat="false" ht="15" hidden="false" customHeight="false" outlineLevel="0" collapsed="false">
      <c r="A57" s="9" t="n">
        <v>31</v>
      </c>
      <c r="B57" s="23" t="s">
        <v>334</v>
      </c>
      <c r="C57" s="24" t="s">
        <v>335</v>
      </c>
      <c r="D57" s="24" t="s">
        <v>336</v>
      </c>
      <c r="E57" s="24" t="s">
        <v>328</v>
      </c>
      <c r="F57" s="9" t="s">
        <v>337</v>
      </c>
      <c r="G57" s="24" t="s">
        <v>338</v>
      </c>
    </row>
    <row r="58" customFormat="false" ht="23.85" hidden="false" customHeight="false" outlineLevel="0" collapsed="false">
      <c r="A58" s="11" t="n">
        <v>32</v>
      </c>
      <c r="B58" s="27" t="s">
        <v>339</v>
      </c>
      <c r="C58" s="28" t="s">
        <v>340</v>
      </c>
      <c r="D58" s="28" t="s">
        <v>223</v>
      </c>
      <c r="E58" s="28" t="s">
        <v>328</v>
      </c>
      <c r="F58" s="11" t="s">
        <v>225</v>
      </c>
      <c r="G58" s="28" t="s">
        <v>341</v>
      </c>
    </row>
    <row r="59" customFormat="false" ht="23.85" hidden="false" customHeight="false" outlineLevel="0" collapsed="false">
      <c r="A59" s="9" t="n">
        <v>33</v>
      </c>
      <c r="B59" s="23" t="s">
        <v>342</v>
      </c>
      <c r="C59" s="24" t="s">
        <v>343</v>
      </c>
      <c r="D59" s="24" t="s">
        <v>223</v>
      </c>
      <c r="E59" s="24" t="s">
        <v>328</v>
      </c>
      <c r="F59" s="9" t="s">
        <v>225</v>
      </c>
      <c r="G59" s="24" t="s">
        <v>344</v>
      </c>
    </row>
    <row r="61" customFormat="false" ht="15" hidden="false" customHeight="false" outlineLevel="0" collapsed="false">
      <c r="A61" s="30"/>
      <c r="B61" s="13" t="s">
        <v>345</v>
      </c>
      <c r="C61" s="13"/>
      <c r="D61" s="13"/>
      <c r="E61" s="13"/>
      <c r="F61" s="15" t="s">
        <v>266</v>
      </c>
      <c r="G61" s="14" t="s">
        <v>346</v>
      </c>
    </row>
  </sheetData>
  <mergeCells count="12">
    <mergeCell ref="A1:G1"/>
    <mergeCell ref="A2:G2"/>
    <mergeCell ref="B2:G2"/>
    <mergeCell ref="A4:G4"/>
    <mergeCell ref="A10:G10"/>
    <mergeCell ref="A18:G18"/>
    <mergeCell ref="A25:G25"/>
    <mergeCell ref="A36:G36"/>
    <mergeCell ref="A41:G41"/>
    <mergeCell ref="A46:G46"/>
    <mergeCell ref="A53:G53"/>
    <mergeCell ref="B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348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22" t="s">
        <v>349</v>
      </c>
      <c r="B4" s="22"/>
      <c r="C4" s="22"/>
      <c r="D4" s="22"/>
      <c r="E4" s="22"/>
      <c r="F4" s="22"/>
      <c r="G4" s="22"/>
    </row>
    <row r="5" customFormat="false" ht="15" hidden="false" customHeight="false" outlineLevel="0" collapsed="false">
      <c r="A5" s="8" t="s">
        <v>60</v>
      </c>
      <c r="B5" s="8" t="s">
        <v>271</v>
      </c>
      <c r="C5" s="8" t="s">
        <v>350</v>
      </c>
      <c r="D5" s="8" t="s">
        <v>351</v>
      </c>
      <c r="E5" s="8" t="s">
        <v>352</v>
      </c>
      <c r="F5" s="8" t="s">
        <v>353</v>
      </c>
      <c r="G5" s="8" t="s">
        <v>64</v>
      </c>
    </row>
    <row r="6" customFormat="false" ht="23.85" hidden="false" customHeight="false" outlineLevel="0" collapsed="false">
      <c r="A6" s="9" t="n">
        <v>1</v>
      </c>
      <c r="B6" s="23" t="s">
        <v>354</v>
      </c>
      <c r="C6" s="24" t="s">
        <v>355</v>
      </c>
      <c r="D6" s="24" t="s">
        <v>356</v>
      </c>
      <c r="E6" s="9" t="s">
        <v>357</v>
      </c>
      <c r="F6" s="9" t="s">
        <v>358</v>
      </c>
      <c r="G6" s="33" t="s">
        <v>73</v>
      </c>
    </row>
    <row r="7" customFormat="false" ht="23.85" hidden="false" customHeight="false" outlineLevel="0" collapsed="false">
      <c r="A7" s="11" t="n">
        <v>2</v>
      </c>
      <c r="B7" s="27" t="s">
        <v>359</v>
      </c>
      <c r="C7" s="28" t="s">
        <v>360</v>
      </c>
      <c r="D7" s="28" t="s">
        <v>361</v>
      </c>
      <c r="E7" s="11" t="s">
        <v>357</v>
      </c>
      <c r="F7" s="11" t="s">
        <v>362</v>
      </c>
      <c r="G7" s="33" t="s">
        <v>73</v>
      </c>
    </row>
    <row r="8" customFormat="false" ht="15" hidden="false" customHeight="false" outlineLevel="0" collapsed="false">
      <c r="A8" s="9" t="n">
        <v>3</v>
      </c>
      <c r="B8" s="23" t="s">
        <v>363</v>
      </c>
      <c r="C8" s="24" t="s">
        <v>364</v>
      </c>
      <c r="D8" s="24" t="s">
        <v>365</v>
      </c>
      <c r="E8" s="9" t="s">
        <v>357</v>
      </c>
      <c r="F8" s="9" t="s">
        <v>366</v>
      </c>
      <c r="G8" s="33" t="s">
        <v>73</v>
      </c>
    </row>
    <row r="9" customFormat="false" ht="15" hidden="false" customHeight="false" outlineLevel="0" collapsed="false">
      <c r="A9" s="11" t="n">
        <v>4</v>
      </c>
      <c r="B9" s="27" t="s">
        <v>367</v>
      </c>
      <c r="C9" s="28" t="s">
        <v>368</v>
      </c>
      <c r="D9" s="28" t="s">
        <v>369</v>
      </c>
      <c r="E9" s="11" t="s">
        <v>370</v>
      </c>
      <c r="F9" s="11" t="s">
        <v>371</v>
      </c>
      <c r="G9" s="33" t="s">
        <v>73</v>
      </c>
    </row>
    <row r="10" customFormat="false" ht="23.85" hidden="false" customHeight="false" outlineLevel="0" collapsed="false">
      <c r="A10" s="9" t="n">
        <v>5</v>
      </c>
      <c r="B10" s="23" t="s">
        <v>372</v>
      </c>
      <c r="C10" s="24" t="s">
        <v>373</v>
      </c>
      <c r="D10" s="24" t="s">
        <v>374</v>
      </c>
      <c r="E10" s="9" t="s">
        <v>370</v>
      </c>
      <c r="F10" s="9" t="s">
        <v>375</v>
      </c>
      <c r="G10" s="33" t="s">
        <v>73</v>
      </c>
    </row>
    <row r="11" customFormat="false" ht="23.85" hidden="false" customHeight="false" outlineLevel="0" collapsed="false">
      <c r="A11" s="11" t="n">
        <v>6</v>
      </c>
      <c r="B11" s="27" t="s">
        <v>376</v>
      </c>
      <c r="C11" s="28" t="s">
        <v>377</v>
      </c>
      <c r="D11" s="28" t="s">
        <v>378</v>
      </c>
      <c r="E11" s="11" t="s">
        <v>370</v>
      </c>
      <c r="F11" s="11" t="s">
        <v>379</v>
      </c>
      <c r="G11" s="33" t="s">
        <v>73</v>
      </c>
    </row>
    <row r="12" customFormat="false" ht="23.85" hidden="false" customHeight="false" outlineLevel="0" collapsed="false">
      <c r="A12" s="9" t="n">
        <v>7</v>
      </c>
      <c r="B12" s="23" t="s">
        <v>380</v>
      </c>
      <c r="C12" s="24" t="s">
        <v>381</v>
      </c>
      <c r="D12" s="24" t="s">
        <v>382</v>
      </c>
      <c r="E12" s="9" t="s">
        <v>370</v>
      </c>
      <c r="F12" s="9" t="s">
        <v>383</v>
      </c>
      <c r="G12" s="33" t="s">
        <v>73</v>
      </c>
    </row>
    <row r="13" customFormat="false" ht="23.85" hidden="false" customHeight="false" outlineLevel="0" collapsed="false">
      <c r="A13" s="11" t="n">
        <v>8</v>
      </c>
      <c r="B13" s="27" t="s">
        <v>384</v>
      </c>
      <c r="C13" s="28" t="s">
        <v>385</v>
      </c>
      <c r="D13" s="28" t="s">
        <v>386</v>
      </c>
      <c r="E13" s="11" t="s">
        <v>370</v>
      </c>
      <c r="F13" s="11" t="s">
        <v>383</v>
      </c>
      <c r="G13" s="33" t="s">
        <v>73</v>
      </c>
    </row>
    <row r="14" customFormat="false" ht="15" hidden="false" customHeight="false" outlineLevel="0" collapsed="false">
      <c r="A14" s="9" t="n">
        <v>9</v>
      </c>
      <c r="B14" s="23" t="s">
        <v>387</v>
      </c>
      <c r="C14" s="24" t="s">
        <v>388</v>
      </c>
      <c r="D14" s="24" t="s">
        <v>389</v>
      </c>
      <c r="E14" s="9" t="s">
        <v>370</v>
      </c>
      <c r="F14" s="9" t="s">
        <v>383</v>
      </c>
      <c r="G14" s="33" t="s">
        <v>73</v>
      </c>
    </row>
    <row r="15" customFormat="false" ht="15" hidden="false" customHeight="false" outlineLevel="0" collapsed="false">
      <c r="A15" s="11" t="n">
        <v>10</v>
      </c>
      <c r="B15" s="27" t="s">
        <v>390</v>
      </c>
      <c r="C15" s="28" t="s">
        <v>391</v>
      </c>
      <c r="D15" s="28" t="s">
        <v>392</v>
      </c>
      <c r="E15" s="11" t="s">
        <v>357</v>
      </c>
      <c r="F15" s="11" t="s">
        <v>393</v>
      </c>
      <c r="G15" s="33" t="s">
        <v>73</v>
      </c>
    </row>
    <row r="16" customFormat="false" ht="23.85" hidden="false" customHeight="false" outlineLevel="0" collapsed="false">
      <c r="A16" s="9" t="n">
        <v>11</v>
      </c>
      <c r="B16" s="23" t="s">
        <v>394</v>
      </c>
      <c r="C16" s="24" t="s">
        <v>395</v>
      </c>
      <c r="D16" s="24" t="s">
        <v>396</v>
      </c>
      <c r="E16" s="9" t="s">
        <v>397</v>
      </c>
      <c r="F16" s="9" t="s">
        <v>398</v>
      </c>
      <c r="G16" s="33" t="s">
        <v>73</v>
      </c>
    </row>
    <row r="17" customFormat="false" ht="23.85" hidden="false" customHeight="false" outlineLevel="0" collapsed="false">
      <c r="A17" s="11" t="n">
        <v>12</v>
      </c>
      <c r="B17" s="27" t="s">
        <v>399</v>
      </c>
      <c r="C17" s="28" t="s">
        <v>400</v>
      </c>
      <c r="D17" s="28" t="s">
        <v>401</v>
      </c>
      <c r="E17" s="11" t="s">
        <v>397</v>
      </c>
      <c r="F17" s="11" t="s">
        <v>402</v>
      </c>
      <c r="G17" s="33" t="s">
        <v>73</v>
      </c>
    </row>
    <row r="18" customFormat="false" ht="23.85" hidden="false" customHeight="false" outlineLevel="0" collapsed="false">
      <c r="A18" s="9" t="n">
        <v>13</v>
      </c>
      <c r="B18" s="23" t="s">
        <v>403</v>
      </c>
      <c r="C18" s="24" t="s">
        <v>404</v>
      </c>
      <c r="D18" s="24" t="s">
        <v>405</v>
      </c>
      <c r="E18" s="9" t="s">
        <v>406</v>
      </c>
      <c r="F18" s="9" t="s">
        <v>407</v>
      </c>
      <c r="G18" s="33" t="s">
        <v>73</v>
      </c>
    </row>
    <row r="19" customFormat="false" ht="23.85" hidden="false" customHeight="false" outlineLevel="0" collapsed="false">
      <c r="A19" s="11" t="n">
        <v>14</v>
      </c>
      <c r="B19" s="27" t="s">
        <v>408</v>
      </c>
      <c r="C19" s="28" t="s">
        <v>409</v>
      </c>
      <c r="D19" s="28" t="s">
        <v>410</v>
      </c>
      <c r="E19" s="11" t="s">
        <v>411</v>
      </c>
      <c r="F19" s="11" t="s">
        <v>412</v>
      </c>
      <c r="G19" s="33" t="s">
        <v>73</v>
      </c>
    </row>
    <row r="20" customFormat="false" ht="23.85" hidden="false" customHeight="false" outlineLevel="0" collapsed="false">
      <c r="A20" s="9" t="n">
        <v>15</v>
      </c>
      <c r="B20" s="23" t="s">
        <v>413</v>
      </c>
      <c r="C20" s="24" t="s">
        <v>414</v>
      </c>
      <c r="D20" s="24" t="s">
        <v>415</v>
      </c>
      <c r="E20" s="9" t="s">
        <v>416</v>
      </c>
      <c r="F20" s="9" t="s">
        <v>417</v>
      </c>
      <c r="G20" s="33" t="s">
        <v>73</v>
      </c>
    </row>
    <row r="21" customFormat="false" ht="23.85" hidden="false" customHeight="false" outlineLevel="0" collapsed="false">
      <c r="A21" s="11" t="n">
        <v>16</v>
      </c>
      <c r="B21" s="27" t="s">
        <v>418</v>
      </c>
      <c r="C21" s="28" t="s">
        <v>419</v>
      </c>
      <c r="D21" s="28" t="s">
        <v>420</v>
      </c>
      <c r="E21" s="11" t="s">
        <v>416</v>
      </c>
      <c r="F21" s="11" t="s">
        <v>421</v>
      </c>
      <c r="G21" s="33" t="s">
        <v>73</v>
      </c>
    </row>
    <row r="22" customFormat="false" ht="15" hidden="false" customHeight="false" outlineLevel="0" collapsed="false">
      <c r="A22" s="9" t="n">
        <v>17</v>
      </c>
      <c r="B22" s="23" t="s">
        <v>422</v>
      </c>
      <c r="C22" s="24" t="s">
        <v>423</v>
      </c>
      <c r="D22" s="24" t="s">
        <v>424</v>
      </c>
      <c r="E22" s="9" t="s">
        <v>425</v>
      </c>
      <c r="F22" s="9" t="s">
        <v>426</v>
      </c>
      <c r="G22" s="33" t="s">
        <v>73</v>
      </c>
    </row>
    <row r="23" customFormat="false" ht="15" hidden="false" customHeight="false" outlineLevel="0" collapsed="false">
      <c r="A23" s="11" t="n">
        <v>18</v>
      </c>
      <c r="B23" s="27" t="s">
        <v>427</v>
      </c>
      <c r="C23" s="28" t="s">
        <v>428</v>
      </c>
      <c r="D23" s="28" t="s">
        <v>429</v>
      </c>
      <c r="E23" s="11" t="s">
        <v>425</v>
      </c>
      <c r="F23" s="11" t="s">
        <v>430</v>
      </c>
      <c r="G23" s="33" t="s">
        <v>73</v>
      </c>
    </row>
    <row r="24" customFormat="false" ht="23.85" hidden="false" customHeight="false" outlineLevel="0" collapsed="false">
      <c r="A24" s="9" t="n">
        <v>19</v>
      </c>
      <c r="B24" s="23" t="s">
        <v>431</v>
      </c>
      <c r="C24" s="24" t="s">
        <v>432</v>
      </c>
      <c r="D24" s="24" t="s">
        <v>433</v>
      </c>
      <c r="E24" s="9" t="s">
        <v>434</v>
      </c>
      <c r="F24" s="9" t="s">
        <v>435</v>
      </c>
      <c r="G24" s="33" t="s">
        <v>73</v>
      </c>
    </row>
    <row r="25" customFormat="false" ht="15" hidden="false" customHeight="false" outlineLevel="0" collapsed="false">
      <c r="A25" s="11" t="n">
        <v>20</v>
      </c>
      <c r="B25" s="27" t="s">
        <v>436</v>
      </c>
      <c r="C25" s="28" t="s">
        <v>437</v>
      </c>
      <c r="D25" s="28" t="s">
        <v>438</v>
      </c>
      <c r="E25" s="11" t="s">
        <v>416</v>
      </c>
      <c r="F25" s="11" t="s">
        <v>439</v>
      </c>
      <c r="G25" s="33" t="s">
        <v>73</v>
      </c>
    </row>
    <row r="27" customFormat="false" ht="21.75" hidden="false" customHeight="true" outlineLevel="0" collapsed="false">
      <c r="A27" s="22" t="s">
        <v>440</v>
      </c>
      <c r="B27" s="22"/>
      <c r="C27" s="22"/>
      <c r="D27" s="22"/>
      <c r="E27" s="22"/>
      <c r="F27" s="22"/>
      <c r="G27" s="22"/>
    </row>
    <row r="28" customFormat="false" ht="15" hidden="false" customHeight="false" outlineLevel="0" collapsed="false">
      <c r="A28" s="8" t="s">
        <v>60</v>
      </c>
      <c r="B28" s="8" t="s">
        <v>271</v>
      </c>
      <c r="C28" s="8" t="s">
        <v>350</v>
      </c>
      <c r="D28" s="8" t="s">
        <v>351</v>
      </c>
      <c r="E28" s="8" t="s">
        <v>352</v>
      </c>
      <c r="F28" s="8" t="s">
        <v>353</v>
      </c>
      <c r="G28" s="8" t="s">
        <v>64</v>
      </c>
    </row>
    <row r="29" customFormat="false" ht="23.85" hidden="false" customHeight="false" outlineLevel="0" collapsed="false">
      <c r="A29" s="9" t="n">
        <v>21</v>
      </c>
      <c r="B29" s="23" t="s">
        <v>441</v>
      </c>
      <c r="C29" s="24" t="s">
        <v>442</v>
      </c>
      <c r="D29" s="24" t="s">
        <v>443</v>
      </c>
      <c r="E29" s="9" t="s">
        <v>444</v>
      </c>
      <c r="F29" s="9" t="s">
        <v>445</v>
      </c>
      <c r="G29" s="33" t="s">
        <v>73</v>
      </c>
    </row>
    <row r="30" customFormat="false" ht="23.85" hidden="false" customHeight="false" outlineLevel="0" collapsed="false">
      <c r="A30" s="11" t="n">
        <v>22</v>
      </c>
      <c r="B30" s="27" t="s">
        <v>446</v>
      </c>
      <c r="C30" s="28" t="s">
        <v>447</v>
      </c>
      <c r="D30" s="28" t="s">
        <v>448</v>
      </c>
      <c r="E30" s="11" t="s">
        <v>449</v>
      </c>
      <c r="F30" s="11" t="s">
        <v>450</v>
      </c>
      <c r="G30" s="33" t="s">
        <v>73</v>
      </c>
    </row>
    <row r="31" customFormat="false" ht="23.85" hidden="false" customHeight="false" outlineLevel="0" collapsed="false">
      <c r="A31" s="9" t="n">
        <v>23</v>
      </c>
      <c r="B31" s="23" t="s">
        <v>451</v>
      </c>
      <c r="C31" s="24" t="s">
        <v>452</v>
      </c>
      <c r="D31" s="24" t="s">
        <v>453</v>
      </c>
      <c r="E31" s="9" t="s">
        <v>370</v>
      </c>
      <c r="F31" s="9" t="s">
        <v>454</v>
      </c>
      <c r="G31" s="34" t="s">
        <v>202</v>
      </c>
    </row>
    <row r="32" customFormat="false" ht="23.85" hidden="false" customHeight="false" outlineLevel="0" collapsed="false">
      <c r="A32" s="11" t="n">
        <v>24</v>
      </c>
      <c r="B32" s="27" t="s">
        <v>455</v>
      </c>
      <c r="C32" s="28" t="s">
        <v>456</v>
      </c>
      <c r="D32" s="28" t="s">
        <v>457</v>
      </c>
      <c r="E32" s="11" t="s">
        <v>370</v>
      </c>
      <c r="F32" s="11" t="s">
        <v>458</v>
      </c>
      <c r="G32" s="34" t="s">
        <v>202</v>
      </c>
    </row>
    <row r="33" customFormat="false" ht="23.85" hidden="false" customHeight="false" outlineLevel="0" collapsed="false">
      <c r="A33" s="9" t="n">
        <v>25</v>
      </c>
      <c r="B33" s="23" t="s">
        <v>459</v>
      </c>
      <c r="C33" s="24" t="s">
        <v>460</v>
      </c>
      <c r="D33" s="24" t="s">
        <v>461</v>
      </c>
      <c r="E33" s="9" t="s">
        <v>462</v>
      </c>
      <c r="F33" s="9" t="s">
        <v>463</v>
      </c>
      <c r="G33" s="34" t="s">
        <v>202</v>
      </c>
    </row>
    <row r="34" customFormat="false" ht="23.85" hidden="false" customHeight="false" outlineLevel="0" collapsed="false">
      <c r="A34" s="11" t="n">
        <v>26</v>
      </c>
      <c r="B34" s="27" t="s">
        <v>464</v>
      </c>
      <c r="C34" s="28" t="s">
        <v>465</v>
      </c>
      <c r="D34" s="28" t="s">
        <v>466</v>
      </c>
      <c r="E34" s="11" t="s">
        <v>370</v>
      </c>
      <c r="F34" s="11" t="s">
        <v>375</v>
      </c>
      <c r="G34" s="33" t="s">
        <v>73</v>
      </c>
    </row>
    <row r="36" customFormat="false" ht="21.75" hidden="false" customHeight="true" outlineLevel="0" collapsed="false">
      <c r="A36" s="22" t="s">
        <v>467</v>
      </c>
      <c r="B36" s="22"/>
      <c r="C36" s="22"/>
      <c r="D36" s="22"/>
      <c r="E36" s="22"/>
      <c r="F36" s="22"/>
      <c r="G36" s="22"/>
    </row>
    <row r="37" customFormat="false" ht="15" hidden="false" customHeight="false" outlineLevel="0" collapsed="false">
      <c r="A37" s="8" t="s">
        <v>60</v>
      </c>
      <c r="B37" s="8" t="s">
        <v>271</v>
      </c>
      <c r="C37" s="8" t="s">
        <v>350</v>
      </c>
      <c r="D37" s="8" t="s">
        <v>351</v>
      </c>
      <c r="E37" s="8" t="s">
        <v>352</v>
      </c>
      <c r="F37" s="8" t="s">
        <v>353</v>
      </c>
      <c r="G37" s="8" t="s">
        <v>64</v>
      </c>
    </row>
    <row r="38" customFormat="false" ht="23.85" hidden="false" customHeight="false" outlineLevel="0" collapsed="false">
      <c r="A38" s="9" t="n">
        <v>27</v>
      </c>
      <c r="B38" s="23" t="s">
        <v>468</v>
      </c>
      <c r="C38" s="24" t="s">
        <v>469</v>
      </c>
      <c r="D38" s="24" t="s">
        <v>470</v>
      </c>
      <c r="E38" s="9" t="s">
        <v>471</v>
      </c>
      <c r="F38" s="9" t="s">
        <v>472</v>
      </c>
      <c r="G38" s="33" t="s">
        <v>73</v>
      </c>
    </row>
    <row r="39" customFormat="false" ht="23.85" hidden="false" customHeight="false" outlineLevel="0" collapsed="false">
      <c r="A39" s="11" t="n">
        <v>28</v>
      </c>
      <c r="B39" s="27" t="s">
        <v>473</v>
      </c>
      <c r="C39" s="28" t="s">
        <v>474</v>
      </c>
      <c r="D39" s="28" t="s">
        <v>475</v>
      </c>
      <c r="E39" s="11" t="s">
        <v>425</v>
      </c>
      <c r="F39" s="11" t="s">
        <v>476</v>
      </c>
      <c r="G39" s="34" t="s">
        <v>202</v>
      </c>
    </row>
    <row r="40" customFormat="false" ht="23.85" hidden="false" customHeight="false" outlineLevel="0" collapsed="false">
      <c r="A40" s="9" t="n">
        <v>29</v>
      </c>
      <c r="B40" s="23" t="s">
        <v>477</v>
      </c>
      <c r="C40" s="24" t="s">
        <v>478</v>
      </c>
      <c r="D40" s="24" t="s">
        <v>479</v>
      </c>
      <c r="E40" s="9" t="s">
        <v>397</v>
      </c>
      <c r="F40" s="9" t="s">
        <v>480</v>
      </c>
      <c r="G40" s="34" t="s">
        <v>202</v>
      </c>
    </row>
    <row r="41" customFormat="false" ht="23.85" hidden="false" customHeight="false" outlineLevel="0" collapsed="false">
      <c r="A41" s="11" t="n">
        <v>30</v>
      </c>
      <c r="B41" s="27" t="s">
        <v>481</v>
      </c>
      <c r="C41" s="28" t="s">
        <v>482</v>
      </c>
      <c r="D41" s="28" t="s">
        <v>483</v>
      </c>
      <c r="E41" s="11" t="s">
        <v>397</v>
      </c>
      <c r="F41" s="11" t="s">
        <v>484</v>
      </c>
      <c r="G41" s="34" t="s">
        <v>202</v>
      </c>
    </row>
    <row r="42" customFormat="false" ht="23.85" hidden="false" customHeight="false" outlineLevel="0" collapsed="false">
      <c r="A42" s="9" t="n">
        <v>31</v>
      </c>
      <c r="B42" s="23" t="s">
        <v>485</v>
      </c>
      <c r="C42" s="24" t="s">
        <v>486</v>
      </c>
      <c r="D42" s="24" t="s">
        <v>487</v>
      </c>
      <c r="E42" s="9" t="s">
        <v>425</v>
      </c>
      <c r="F42" s="9" t="s">
        <v>488</v>
      </c>
      <c r="G42" s="34" t="s">
        <v>202</v>
      </c>
    </row>
    <row r="44" customFormat="false" ht="21.75" hidden="false" customHeight="true" outlineLevel="0" collapsed="false">
      <c r="A44" s="22" t="s">
        <v>489</v>
      </c>
      <c r="B44" s="22"/>
      <c r="C44" s="22"/>
      <c r="D44" s="22"/>
      <c r="E44" s="22"/>
      <c r="F44" s="22"/>
      <c r="G44" s="22"/>
    </row>
    <row r="45" customFormat="false" ht="15" hidden="false" customHeight="false" outlineLevel="0" collapsed="false">
      <c r="A45" s="8" t="s">
        <v>60</v>
      </c>
      <c r="B45" s="8" t="s">
        <v>271</v>
      </c>
      <c r="C45" s="8" t="s">
        <v>350</v>
      </c>
      <c r="D45" s="8" t="s">
        <v>351</v>
      </c>
      <c r="E45" s="8" t="s">
        <v>352</v>
      </c>
      <c r="F45" s="8" t="s">
        <v>353</v>
      </c>
      <c r="G45" s="8" t="s">
        <v>64</v>
      </c>
    </row>
    <row r="46" customFormat="false" ht="23.85" hidden="false" customHeight="false" outlineLevel="0" collapsed="false">
      <c r="A46" s="9" t="n">
        <v>32</v>
      </c>
      <c r="B46" s="23" t="s">
        <v>490</v>
      </c>
      <c r="C46" s="24" t="s">
        <v>491</v>
      </c>
      <c r="D46" s="24" t="s">
        <v>492</v>
      </c>
      <c r="E46" s="9" t="s">
        <v>74</v>
      </c>
      <c r="F46" s="9" t="s">
        <v>74</v>
      </c>
      <c r="G46" s="35" t="s">
        <v>493</v>
      </c>
    </row>
    <row r="47" customFormat="false" ht="23.85" hidden="false" customHeight="false" outlineLevel="0" collapsed="false">
      <c r="A47" s="11" t="n">
        <v>33</v>
      </c>
      <c r="B47" s="27" t="s">
        <v>494</v>
      </c>
      <c r="C47" s="28" t="s">
        <v>495</v>
      </c>
      <c r="D47" s="28" t="s">
        <v>496</v>
      </c>
      <c r="E47" s="11" t="s">
        <v>397</v>
      </c>
      <c r="F47" s="11" t="s">
        <v>497</v>
      </c>
      <c r="G47" s="35" t="s">
        <v>493</v>
      </c>
    </row>
    <row r="48" customFormat="false" ht="23.85" hidden="false" customHeight="false" outlineLevel="0" collapsed="false">
      <c r="A48" s="9" t="n">
        <v>34</v>
      </c>
      <c r="B48" s="23" t="s">
        <v>498</v>
      </c>
      <c r="C48" s="24" t="s">
        <v>499</v>
      </c>
      <c r="D48" s="24" t="s">
        <v>500</v>
      </c>
      <c r="E48" s="9" t="s">
        <v>416</v>
      </c>
      <c r="F48" s="9" t="s">
        <v>74</v>
      </c>
      <c r="G48" s="35" t="s">
        <v>493</v>
      </c>
    </row>
    <row r="49" customFormat="false" ht="23.85" hidden="false" customHeight="false" outlineLevel="0" collapsed="false">
      <c r="A49" s="11" t="n">
        <v>35</v>
      </c>
      <c r="B49" s="27" t="s">
        <v>501</v>
      </c>
      <c r="C49" s="28" t="s">
        <v>502</v>
      </c>
      <c r="D49" s="28" t="s">
        <v>503</v>
      </c>
      <c r="E49" s="11" t="s">
        <v>504</v>
      </c>
      <c r="F49" s="11" t="s">
        <v>505</v>
      </c>
      <c r="G49" s="34" t="s">
        <v>202</v>
      </c>
    </row>
    <row r="52" customFormat="false" ht="15" hidden="false" customHeight="false" outlineLevel="0" collapsed="false">
      <c r="B52" s="17" t="s">
        <v>506</v>
      </c>
      <c r="C52" s="17"/>
      <c r="D52" s="17"/>
      <c r="E52" s="17"/>
      <c r="F52" s="17"/>
      <c r="G52" s="17"/>
    </row>
    <row r="53" customFormat="false" ht="15" hidden="false" customHeight="false" outlineLevel="0" collapsed="false">
      <c r="B53" s="36" t="s">
        <v>507</v>
      </c>
      <c r="C53" s="36"/>
      <c r="D53" s="36"/>
      <c r="E53" s="36"/>
      <c r="F53" s="36"/>
      <c r="G53" s="37" t="n">
        <f aca="false">COUNTIF(G:G,"Core")</f>
        <v>24</v>
      </c>
    </row>
    <row r="54" customFormat="false" ht="15" hidden="false" customHeight="false" outlineLevel="0" collapsed="false">
      <c r="B54" s="36" t="s">
        <v>508</v>
      </c>
      <c r="C54" s="36"/>
      <c r="D54" s="36"/>
      <c r="E54" s="36"/>
      <c r="F54" s="36"/>
      <c r="G54" s="37" t="n">
        <f aca="false">COUNTIF(G:G,"Optional")</f>
        <v>8</v>
      </c>
    </row>
    <row r="55" customFormat="false" ht="15" hidden="false" customHeight="false" outlineLevel="0" collapsed="false">
      <c r="B55" s="36" t="s">
        <v>509</v>
      </c>
      <c r="C55" s="36"/>
      <c r="D55" s="36"/>
      <c r="E55" s="36"/>
      <c r="F55" s="36"/>
      <c r="G55" s="37" t="n">
        <f aca="false">COUNTIF(G:G,"Future")</f>
        <v>3</v>
      </c>
    </row>
    <row r="56" customFormat="false" ht="15" hidden="false" customHeight="false" outlineLevel="0" collapsed="false">
      <c r="B56" s="36" t="s">
        <v>510</v>
      </c>
      <c r="C56" s="36"/>
      <c r="D56" s="36"/>
      <c r="E56" s="36"/>
      <c r="F56" s="36"/>
      <c r="G56" s="37" t="n">
        <f aca="false">COUNTIF(G:G,"Core")+COUNTIF(G:G,"Optional")+COUNTIF(G:G,"Future")</f>
        <v>35</v>
      </c>
    </row>
  </sheetData>
  <mergeCells count="12">
    <mergeCell ref="A1:G1"/>
    <mergeCell ref="A2:G2"/>
    <mergeCell ref="B2:G2"/>
    <mergeCell ref="A4:G4"/>
    <mergeCell ref="A27:G27"/>
    <mergeCell ref="A36:G36"/>
    <mergeCell ref="A44:G44"/>
    <mergeCell ref="B52:G52"/>
    <mergeCell ref="B53:F53"/>
    <mergeCell ref="B54:F54"/>
    <mergeCell ref="B55:F55"/>
    <mergeCell ref="B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" t="s">
        <v>511</v>
      </c>
      <c r="B1" s="1"/>
      <c r="C1" s="1"/>
      <c r="D1" s="1"/>
      <c r="E1" s="1"/>
    </row>
    <row r="2" customFormat="false" ht="18" hidden="false" customHeight="true" outlineLevel="0" collapsed="false">
      <c r="A2" s="2" t="s">
        <v>512</v>
      </c>
      <c r="B2" s="2"/>
      <c r="C2" s="2"/>
      <c r="D2" s="2"/>
      <c r="E2" s="2"/>
    </row>
    <row r="4" customFormat="false" ht="21.75" hidden="false" customHeight="true" outlineLevel="0" collapsed="false">
      <c r="A4" s="22" t="s">
        <v>513</v>
      </c>
      <c r="B4" s="22"/>
      <c r="C4" s="22"/>
      <c r="D4" s="22"/>
      <c r="E4" s="22"/>
    </row>
    <row r="5" customFormat="false" ht="15" hidden="false" customHeight="false" outlineLevel="0" collapsed="false">
      <c r="A5" s="8" t="s">
        <v>60</v>
      </c>
      <c r="B5" s="8" t="s">
        <v>514</v>
      </c>
      <c r="C5" s="8" t="s">
        <v>515</v>
      </c>
      <c r="D5" s="8" t="s">
        <v>516</v>
      </c>
      <c r="E5" s="8" t="s">
        <v>220</v>
      </c>
    </row>
    <row r="6" customFormat="false" ht="23.85" hidden="false" customHeight="false" outlineLevel="0" collapsed="false">
      <c r="A6" s="9" t="n">
        <v>1</v>
      </c>
      <c r="B6" s="23" t="s">
        <v>517</v>
      </c>
      <c r="C6" s="24" t="s">
        <v>518</v>
      </c>
      <c r="D6" s="24" t="s">
        <v>519</v>
      </c>
      <c r="E6" s="24" t="s">
        <v>520</v>
      </c>
    </row>
    <row r="7" customFormat="false" ht="23.85" hidden="false" customHeight="false" outlineLevel="0" collapsed="false">
      <c r="A7" s="11" t="n">
        <v>2</v>
      </c>
      <c r="B7" s="27" t="s">
        <v>521</v>
      </c>
      <c r="C7" s="28" t="s">
        <v>522</v>
      </c>
      <c r="D7" s="28" t="s">
        <v>523</v>
      </c>
      <c r="E7" s="28" t="s">
        <v>524</v>
      </c>
    </row>
    <row r="8" customFormat="false" ht="23.85" hidden="false" customHeight="false" outlineLevel="0" collapsed="false">
      <c r="A8" s="9" t="n">
        <v>3</v>
      </c>
      <c r="B8" s="23" t="s">
        <v>525</v>
      </c>
      <c r="C8" s="24" t="s">
        <v>526</v>
      </c>
      <c r="D8" s="24" t="s">
        <v>527</v>
      </c>
      <c r="E8" s="24" t="s">
        <v>528</v>
      </c>
    </row>
    <row r="9" customFormat="false" ht="15" hidden="false" customHeight="false" outlineLevel="0" collapsed="false">
      <c r="A9" s="11" t="n">
        <v>4</v>
      </c>
      <c r="B9" s="27" t="s">
        <v>529</v>
      </c>
      <c r="C9" s="28" t="s">
        <v>530</v>
      </c>
      <c r="D9" s="28" t="s">
        <v>531</v>
      </c>
      <c r="E9" s="28" t="s">
        <v>532</v>
      </c>
    </row>
    <row r="10" customFormat="false" ht="23.85" hidden="false" customHeight="false" outlineLevel="0" collapsed="false">
      <c r="A10" s="9" t="n">
        <v>5</v>
      </c>
      <c r="B10" s="23" t="s">
        <v>533</v>
      </c>
      <c r="C10" s="24" t="s">
        <v>534</v>
      </c>
      <c r="D10" s="24" t="s">
        <v>535</v>
      </c>
      <c r="E10" s="24" t="s">
        <v>536</v>
      </c>
    </row>
    <row r="12" customFormat="false" ht="21.75" hidden="false" customHeight="true" outlineLevel="0" collapsed="false">
      <c r="A12" s="22" t="s">
        <v>537</v>
      </c>
      <c r="B12" s="22"/>
      <c r="C12" s="22"/>
      <c r="D12" s="22"/>
      <c r="E12" s="22"/>
    </row>
    <row r="13" customFormat="false" ht="15" hidden="false" customHeight="false" outlineLevel="0" collapsed="false">
      <c r="A13" s="8" t="s">
        <v>60</v>
      </c>
      <c r="B13" s="8" t="s">
        <v>514</v>
      </c>
      <c r="C13" s="8" t="s">
        <v>515</v>
      </c>
      <c r="D13" s="8" t="s">
        <v>516</v>
      </c>
      <c r="E13" s="8" t="s">
        <v>220</v>
      </c>
    </row>
    <row r="14" customFormat="false" ht="15" hidden="false" customHeight="false" outlineLevel="0" collapsed="false">
      <c r="A14" s="9" t="n">
        <v>6</v>
      </c>
      <c r="B14" s="23" t="s">
        <v>538</v>
      </c>
      <c r="C14" s="24" t="s">
        <v>539</v>
      </c>
      <c r="D14" s="24" t="s">
        <v>540</v>
      </c>
      <c r="E14" s="24" t="s">
        <v>541</v>
      </c>
    </row>
    <row r="15" customFormat="false" ht="15" hidden="false" customHeight="false" outlineLevel="0" collapsed="false">
      <c r="A15" s="11" t="n">
        <v>7</v>
      </c>
      <c r="B15" s="27" t="s">
        <v>542</v>
      </c>
      <c r="C15" s="28" t="s">
        <v>539</v>
      </c>
      <c r="D15" s="28" t="s">
        <v>543</v>
      </c>
      <c r="E15" s="28" t="s">
        <v>527</v>
      </c>
    </row>
    <row r="16" customFormat="false" ht="15" hidden="false" customHeight="false" outlineLevel="0" collapsed="false">
      <c r="A16" s="9" t="n">
        <v>8</v>
      </c>
      <c r="B16" s="23" t="s">
        <v>544</v>
      </c>
      <c r="C16" s="24" t="s">
        <v>526</v>
      </c>
      <c r="D16" s="24" t="s">
        <v>545</v>
      </c>
      <c r="E16" s="24" t="s">
        <v>546</v>
      </c>
    </row>
    <row r="17" customFormat="false" ht="15" hidden="false" customHeight="false" outlineLevel="0" collapsed="false">
      <c r="A17" s="11" t="n">
        <v>9</v>
      </c>
      <c r="B17" s="27" t="s">
        <v>83</v>
      </c>
      <c r="C17" s="28" t="s">
        <v>547</v>
      </c>
      <c r="D17" s="28" t="s">
        <v>548</v>
      </c>
      <c r="E17" s="28" t="s">
        <v>549</v>
      </c>
    </row>
    <row r="18" customFormat="false" ht="23.85" hidden="false" customHeight="false" outlineLevel="0" collapsed="false">
      <c r="A18" s="9" t="n">
        <v>10</v>
      </c>
      <c r="B18" s="23" t="s">
        <v>170</v>
      </c>
      <c r="C18" s="24" t="s">
        <v>550</v>
      </c>
      <c r="D18" s="24" t="s">
        <v>551</v>
      </c>
      <c r="E18" s="24" t="s">
        <v>552</v>
      </c>
    </row>
    <row r="19" customFormat="false" ht="23.85" hidden="false" customHeight="false" outlineLevel="0" collapsed="false">
      <c r="A19" s="11" t="n">
        <v>11</v>
      </c>
      <c r="B19" s="27" t="s">
        <v>553</v>
      </c>
      <c r="C19" s="28" t="s">
        <v>554</v>
      </c>
      <c r="D19" s="28" t="s">
        <v>555</v>
      </c>
      <c r="E19" s="28" t="s">
        <v>556</v>
      </c>
    </row>
    <row r="20" customFormat="false" ht="15" hidden="false" customHeight="false" outlineLevel="0" collapsed="false">
      <c r="A20" s="9" t="n">
        <v>12</v>
      </c>
      <c r="B20" s="23" t="s">
        <v>557</v>
      </c>
      <c r="C20" s="24" t="s">
        <v>558</v>
      </c>
      <c r="D20" s="24" t="s">
        <v>559</v>
      </c>
      <c r="E20" s="24" t="s">
        <v>560</v>
      </c>
    </row>
    <row r="21" customFormat="false" ht="15" hidden="false" customHeight="false" outlineLevel="0" collapsed="false">
      <c r="A21" s="11" t="n">
        <v>13</v>
      </c>
      <c r="B21" s="27" t="s">
        <v>561</v>
      </c>
      <c r="C21" s="28" t="s">
        <v>562</v>
      </c>
      <c r="D21" s="28" t="s">
        <v>114</v>
      </c>
      <c r="E21" s="28" t="s">
        <v>563</v>
      </c>
    </row>
    <row r="22" customFormat="false" ht="15" hidden="false" customHeight="false" outlineLevel="0" collapsed="false">
      <c r="A22" s="9" t="n">
        <v>14</v>
      </c>
      <c r="B22" s="23" t="s">
        <v>564</v>
      </c>
      <c r="C22" s="24" t="s">
        <v>565</v>
      </c>
      <c r="D22" s="24" t="s">
        <v>566</v>
      </c>
      <c r="E22" s="24" t="s">
        <v>567</v>
      </c>
    </row>
    <row r="23" customFormat="false" ht="15" hidden="false" customHeight="false" outlineLevel="0" collapsed="false">
      <c r="A23" s="11" t="n">
        <v>15</v>
      </c>
      <c r="B23" s="27" t="s">
        <v>568</v>
      </c>
      <c r="C23" s="28" t="s">
        <v>569</v>
      </c>
      <c r="D23" s="28" t="s">
        <v>570</v>
      </c>
      <c r="E23" s="28" t="s">
        <v>571</v>
      </c>
    </row>
    <row r="24" customFormat="false" ht="15" hidden="false" customHeight="false" outlineLevel="0" collapsed="false">
      <c r="A24" s="9" t="n">
        <v>16</v>
      </c>
      <c r="B24" s="23" t="s">
        <v>572</v>
      </c>
      <c r="C24" s="24" t="s">
        <v>569</v>
      </c>
      <c r="D24" s="24" t="s">
        <v>570</v>
      </c>
      <c r="E24" s="24" t="s">
        <v>571</v>
      </c>
    </row>
    <row r="25" customFormat="false" ht="15" hidden="false" customHeight="false" outlineLevel="0" collapsed="false">
      <c r="A25" s="11" t="n">
        <v>17</v>
      </c>
      <c r="B25" s="27" t="s">
        <v>573</v>
      </c>
      <c r="C25" s="28" t="s">
        <v>574</v>
      </c>
      <c r="D25" s="28" t="s">
        <v>570</v>
      </c>
      <c r="E25" s="28" t="s">
        <v>575</v>
      </c>
    </row>
    <row r="26" customFormat="false" ht="15" hidden="false" customHeight="false" outlineLevel="0" collapsed="false">
      <c r="A26" s="9" t="n">
        <v>18</v>
      </c>
      <c r="B26" s="23" t="s">
        <v>576</v>
      </c>
      <c r="C26" s="24" t="s">
        <v>574</v>
      </c>
      <c r="D26" s="24" t="s">
        <v>570</v>
      </c>
      <c r="E26" s="24" t="s">
        <v>575</v>
      </c>
    </row>
    <row r="28" customFormat="false" ht="21.75" hidden="false" customHeight="true" outlineLevel="0" collapsed="false">
      <c r="A28" s="22" t="s">
        <v>577</v>
      </c>
      <c r="B28" s="22"/>
      <c r="C28" s="22"/>
      <c r="D28" s="22"/>
      <c r="E28" s="22"/>
    </row>
    <row r="29" customFormat="false" ht="15" hidden="false" customHeight="false" outlineLevel="0" collapsed="false">
      <c r="A29" s="8" t="s">
        <v>60</v>
      </c>
      <c r="B29" s="8" t="s">
        <v>514</v>
      </c>
      <c r="C29" s="8" t="s">
        <v>515</v>
      </c>
      <c r="D29" s="8" t="s">
        <v>516</v>
      </c>
      <c r="E29" s="8" t="s">
        <v>220</v>
      </c>
    </row>
    <row r="30" customFormat="false" ht="15" hidden="false" customHeight="false" outlineLevel="0" collapsed="false">
      <c r="A30" s="9" t="n">
        <v>19</v>
      </c>
      <c r="B30" s="23" t="s">
        <v>578</v>
      </c>
      <c r="C30" s="24" t="s">
        <v>526</v>
      </c>
      <c r="D30" s="24" t="s">
        <v>579</v>
      </c>
      <c r="E30" s="24" t="s">
        <v>580</v>
      </c>
    </row>
    <row r="31" customFormat="false" ht="15" hidden="false" customHeight="false" outlineLevel="0" collapsed="false">
      <c r="A31" s="11" t="n">
        <v>20</v>
      </c>
      <c r="B31" s="27" t="s">
        <v>581</v>
      </c>
      <c r="C31" s="28" t="s">
        <v>526</v>
      </c>
      <c r="D31" s="28" t="s">
        <v>582</v>
      </c>
      <c r="E31" s="28" t="s">
        <v>138</v>
      </c>
    </row>
    <row r="32" customFormat="false" ht="15" hidden="false" customHeight="false" outlineLevel="0" collapsed="false">
      <c r="A32" s="9" t="n">
        <v>21</v>
      </c>
      <c r="B32" s="23" t="s">
        <v>583</v>
      </c>
      <c r="C32" s="24" t="s">
        <v>526</v>
      </c>
      <c r="D32" s="24" t="s">
        <v>584</v>
      </c>
      <c r="E32" s="24" t="s">
        <v>585</v>
      </c>
    </row>
    <row r="33" customFormat="false" ht="15" hidden="false" customHeight="false" outlineLevel="0" collapsed="false">
      <c r="A33" s="11" t="n">
        <v>22</v>
      </c>
      <c r="B33" s="27" t="s">
        <v>586</v>
      </c>
      <c r="C33" s="28" t="s">
        <v>526</v>
      </c>
      <c r="D33" s="28" t="s">
        <v>149</v>
      </c>
      <c r="E33" s="28" t="s">
        <v>587</v>
      </c>
    </row>
    <row r="34" customFormat="false" ht="15" hidden="false" customHeight="false" outlineLevel="0" collapsed="false">
      <c r="A34" s="9" t="n">
        <v>23</v>
      </c>
      <c r="B34" s="23" t="s">
        <v>588</v>
      </c>
      <c r="C34" s="24" t="s">
        <v>526</v>
      </c>
      <c r="D34" s="24" t="s">
        <v>589</v>
      </c>
      <c r="E34" s="24" t="s">
        <v>590</v>
      </c>
    </row>
    <row r="35" customFormat="false" ht="15" hidden="false" customHeight="false" outlineLevel="0" collapsed="false">
      <c r="A35" s="11" t="n">
        <v>24</v>
      </c>
      <c r="B35" s="27" t="s">
        <v>591</v>
      </c>
      <c r="C35" s="28" t="s">
        <v>526</v>
      </c>
      <c r="D35" s="28" t="s">
        <v>592</v>
      </c>
      <c r="E35" s="28" t="s">
        <v>593</v>
      </c>
    </row>
    <row r="36" customFormat="false" ht="15" hidden="false" customHeight="false" outlineLevel="0" collapsed="false">
      <c r="A36" s="9" t="n">
        <v>25</v>
      </c>
      <c r="B36" s="23" t="s">
        <v>594</v>
      </c>
      <c r="C36" s="24" t="s">
        <v>526</v>
      </c>
      <c r="D36" s="24" t="s">
        <v>595</v>
      </c>
      <c r="E36" s="24" t="s">
        <v>596</v>
      </c>
    </row>
  </sheetData>
  <mergeCells count="6">
    <mergeCell ref="A1:E1"/>
    <mergeCell ref="A2:E2"/>
    <mergeCell ref="B2:E2"/>
    <mergeCell ref="A4:E4"/>
    <mergeCell ref="A12:E12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2026-05-19T01:20:42Z</dcterms:created>
  <dc:creator>openpyxl</dc:creator>
  <dc:description/>
  <dc:language>en-US</dc:language>
  <cp:lastModifiedBy/>
  <dcterms:modified xsi:type="dcterms:W3CDTF">2026-05-19T01:20:42Z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